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Gold_ETF_Tracker\"/>
    </mc:Choice>
  </mc:AlternateContent>
  <xr:revisionPtr revIDLastSave="0" documentId="13_ncr:1_{CD22A313-3F69-427A-895D-5E04CCD00CC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ummary Dashboard" sheetId="1" r:id="rId1"/>
    <sheet name="Dashboard" sheetId="2" r:id="rId2"/>
    <sheet name="GOLDBETA" sheetId="3" r:id="rId3"/>
    <sheet name="HDFCGOLD" sheetId="4" r:id="rId4"/>
    <sheet name="GOLDIETF" sheetId="5" r:id="rId5"/>
    <sheet name="BSLGOLDETF" sheetId="6" r:id="rId6"/>
    <sheet name="LICMFGOLD" sheetId="7" r:id="rId7"/>
    <sheet name="Read Me" sheetId="8" r:id="rId8"/>
  </sheets>
  <calcPr calcId="181029" forceFullCalc="1"/>
</workbook>
</file>

<file path=xl/calcChain.xml><?xml version="1.0" encoding="utf-8"?>
<calcChain xmlns="http://schemas.openxmlformats.org/spreadsheetml/2006/main">
  <c r="E25" i="7" l="1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G11" i="1"/>
  <c r="C11" i="1"/>
  <c r="E11" i="1" s="1"/>
  <c r="F11" i="1" s="1"/>
  <c r="B11" i="1"/>
  <c r="G10" i="1"/>
  <c r="C10" i="1"/>
  <c r="E10" i="1" s="1"/>
  <c r="F10" i="1" s="1"/>
  <c r="B10" i="1"/>
  <c r="G9" i="1"/>
  <c r="C9" i="1"/>
  <c r="E9" i="1" s="1"/>
  <c r="F9" i="1" s="1"/>
  <c r="B9" i="1"/>
  <c r="G8" i="1"/>
  <c r="C8" i="1"/>
  <c r="E8" i="1" s="1"/>
  <c r="F8" i="1" s="1"/>
  <c r="B8" i="1"/>
  <c r="G7" i="1"/>
  <c r="C7" i="1"/>
  <c r="C12" i="1" s="1"/>
  <c r="B7" i="1"/>
  <c r="I4" i="1"/>
  <c r="C4" i="1"/>
  <c r="G4" i="1" s="1"/>
  <c r="A4" i="1"/>
  <c r="D7" i="1" l="1"/>
  <c r="D9" i="1"/>
  <c r="D11" i="1"/>
  <c r="E7" i="1"/>
  <c r="D8" i="1"/>
  <c r="D10" i="1"/>
  <c r="E4" i="1"/>
  <c r="E12" i="1" l="1"/>
  <c r="F12" i="1" s="1"/>
  <c r="F7" i="1"/>
</calcChain>
</file>

<file path=xl/sharedStrings.xml><?xml version="1.0" encoding="utf-8"?>
<sst xmlns="http://schemas.openxmlformats.org/spreadsheetml/2006/main" count="603" uniqueCount="133">
  <si>
    <t>GOLD ETF PORTFOLIO DASHBOARD</t>
  </si>
  <si>
    <t>AUTOMATION &amp; SOURCES</t>
  </si>
  <si>
    <t>Automation</t>
  </si>
  <si>
    <t>Daily price pull + formula update</t>
  </si>
  <si>
    <t>Latest Trading Date</t>
  </si>
  <si>
    <t>Portfolio Value</t>
  </si>
  <si>
    <t>1-Day Change</t>
  </si>
  <si>
    <t>Change vs First Day</t>
  </si>
  <si>
    <t>Physical Gold (10g)</t>
  </si>
  <si>
    <t>Yahoo Finance / yfinance</t>
  </si>
  <si>
    <t>GOLDBETA 2356 | HDFCGOLD 1934 | GOLDIETF 1544 | BSLGOLDETF 1111 | LICMFGOLD 733</t>
  </si>
  <si>
    <t>ETF</t>
  </si>
  <si>
    <t>Latest Price</t>
  </si>
  <si>
    <t>Holding Value</t>
  </si>
  <si>
    <t>Weight %</t>
  </si>
  <si>
    <t>1D Change</t>
  </si>
  <si>
    <t>1D Change %</t>
  </si>
  <si>
    <t>NAV Change</t>
  </si>
  <si>
    <t>GOLDBETA</t>
  </si>
  <si>
    <t>HDFCGOLD</t>
  </si>
  <si>
    <t>GOLDIETF</t>
  </si>
  <si>
    <t>BSLGOLDETF</t>
  </si>
  <si>
    <t>LICMFGOLD</t>
  </si>
  <si>
    <t>TOTAL</t>
  </si>
  <si>
    <t>Date</t>
  </si>
  <si>
    <t>GOLDBETA Close</t>
  </si>
  <si>
    <t>GOLDBETA Value</t>
  </si>
  <si>
    <t>HDFCGOLD Close</t>
  </si>
  <si>
    <t>HDFCGOLD Value</t>
  </si>
  <si>
    <t>GOLDIETF Close</t>
  </si>
  <si>
    <t>GOLDIETF Value</t>
  </si>
  <si>
    <t>BSLGOLDETF Close</t>
  </si>
  <si>
    <t>BSLGOLDETF Value</t>
  </si>
  <si>
    <t>LICMFGOLD Close</t>
  </si>
  <si>
    <t>LICMFGOLD Value</t>
  </si>
  <si>
    <t>Physical Gold (10g) ₹</t>
  </si>
  <si>
    <t>UTI Gold Exchange Traded Fund (GOLDBETA.NS) — Daily Tracker</t>
  </si>
  <si>
    <t>Fund</t>
  </si>
  <si>
    <t>UTI Gold Exchange Traded Fund</t>
  </si>
  <si>
    <t>Notes</t>
  </si>
  <si>
    <t>Daily NAV values updated from the user-supplied UTI Mutual Fund / AMFI extract: ₹127.3391 on 07-Sep-2026 through ₹128.2152 on 18-Sep-2026. Market close source: Yahoo Finance. TD values were not reliably reported.</t>
  </si>
  <si>
    <t>Yahoo symbol</t>
  </si>
  <si>
    <t>GOLDBETA.NS</t>
  </si>
  <si>
    <t>TER (periodic)</t>
  </si>
  <si>
    <t>TER as of</t>
  </si>
  <si>
    <t>2026-09-18</t>
  </si>
  <si>
    <t>TD 1Y (periodic)</t>
  </si>
  <si>
    <t>TD 3Y (periodic)</t>
  </si>
  <si>
    <t>Daily public series available (UTI/AMFI extract supplied by user)</t>
  </si>
  <si>
    <t>TD as of</t>
  </si>
  <si>
    <t>Not publicly reported</t>
  </si>
  <si>
    <t>Day</t>
  </si>
  <si>
    <t>Market Close (₹)</t>
  </si>
  <si>
    <t>NAV (₹)</t>
  </si>
  <si>
    <t>Premium/(Discount) to NAV %</t>
  </si>
  <si>
    <t>TER % (periodic)</t>
  </si>
  <si>
    <t>TER As Of</t>
  </si>
  <si>
    <t>TD 1Y % (periodic)</t>
  </si>
  <si>
    <t>TD 3Y % (periodic)</t>
  </si>
  <si>
    <t>TD As Of</t>
  </si>
  <si>
    <t>Market Data Status</t>
  </si>
  <si>
    <t>NAV Data Status</t>
  </si>
  <si>
    <t>Mon</t>
  </si>
  <si>
    <t>Available</t>
  </si>
  <si>
    <t>Tue</t>
  </si>
  <si>
    <t>Wed</t>
  </si>
  <si>
    <t>Thu</t>
  </si>
  <si>
    <t>Fri</t>
  </si>
  <si>
    <t>Sat</t>
  </si>
  <si>
    <t>No price observation retrieved</t>
  </si>
  <si>
    <t>No NAV observation in supplied extract</t>
  </si>
  <si>
    <t>Sun</t>
  </si>
  <si>
    <t>Sources</t>
  </si>
  <si>
    <t>NAV source</t>
  </si>
  <si>
    <t>User-supplied UTI Mutual Fund / AMFI NAV extract; official history endpoint: https://portal.amfiindia.com/DownloadNAVHistoryReport_Po.aspx?frmdt=07-Sep-2026&amp;todt=21-Sep-2026</t>
  </si>
  <si>
    <t>TER source</t>
  </si>
  <si>
    <t>https://www.dezerv.in/mutual-funds/uti-gold-etf-inf789f1aux7/</t>
  </si>
  <si>
    <t>TD source</t>
  </si>
  <si>
    <t>https://www.utimf.com/mutual-funds/uti-gold-exchange-traded-fund</t>
  </si>
  <si>
    <t>Market-price source</t>
  </si>
  <si>
    <t>https://finance.yahoo.com/quote/GOLDBETA.NS/history/</t>
  </si>
  <si>
    <t>HDFC Gold ETF (HDFCGOLD.NS) — Daily Tracker</t>
  </si>
  <si>
    <t>HDFC Gold ETF</t>
  </si>
  <si>
    <t>Daily NAV values verified against the user-supplied HDFC Mutual Fund / AMFI extract: ₹129.2599 on 07-Sep-2026 through ₹130.1465 on 18-Sep-2026. Market close source: Yahoo Finance. TD values were not reliably reported.</t>
  </si>
  <si>
    <t>HDFCGOLD.NS</t>
  </si>
  <si>
    <t>2026-08-30</t>
  </si>
  <si>
    <t>Not available for this date</t>
  </si>
  <si>
    <t>User-supplied HDFC Mutual Fund / AMFI NAV extract (HDFC Gold ETF - Growth Option); daily values verified for 07-Sep-2026 to 18-Sep-2026.</t>
  </si>
  <si>
    <t>https://www.advisorkhoj.com/mutual-funds-research/HDFC-Gold-ETF-Growth-Option</t>
  </si>
  <si>
    <t>https://www.hdfcfund.com/explore/mutual-funds/hdfc-gold-etf/regular</t>
  </si>
  <si>
    <t>https://finance.yahoo.com/quote/HDFCGOLD.NS/history/</t>
  </si>
  <si>
    <t>ICICI Prudential Gold ETF (GOLDIETF.NS) — Daily Tracker</t>
  </si>
  <si>
    <t>ICICI Prudential Gold ETF</t>
  </si>
  <si>
    <t>Daily NAV values verified against the user-supplied ICICI Prudential Mutual Fund extract: ₹129.5659 on 07-Sep-2026 through ₹130.4544 on 18-Sep-2026. Market close source: Yahoo Finance. TER and TD are periodic AMC disclosures.</t>
  </si>
  <si>
    <t>GOLDIETF.NS</t>
  </si>
  <si>
    <t>2026-08-31</t>
  </si>
  <si>
    <t>User-supplied ICICI Prudential Mutual Fund NAV extract (ICICI Prudential Gold ETF); daily values verified for 07-Sep-2026 to 18-Sep-2026.</t>
  </si>
  <si>
    <t>https://www.icicipruamc.com/blob/knowledgecentre/factsheet-passive/Passive.pdf</t>
  </si>
  <si>
    <t>https://finance.yahoo.com/quote/GOLDIETF.NS/history/</t>
  </si>
  <si>
    <t>Aditya Birla Sun Life Gold ETF (BSLGOLDETF.NS) — Daily Tracker</t>
  </si>
  <si>
    <t>Aditya Birla Sun Life Gold ETF</t>
  </si>
  <si>
    <t>Daily NAV from official AMFI NAV history. TER 0.37% as of 2026-07-31. Public sources exposed tracking error, not retrievable TD values. Yahoo history: https://finance.yahoo.com/quote/BSLGOLDETF.NS/history/</t>
  </si>
  <si>
    <t>BSLGOLDETF.NS</t>
  </si>
  <si>
    <t>2026-07-31</t>
  </si>
  <si>
    <t>https://portal.amfiindia.com/DownloadNAVHistoryReport_Po.aspx?frmdt=07-Sep-2026&amp;todt=21-Sep-2026</t>
  </si>
  <si>
    <t>https://mutualfund.adityabirlacapital.com/empower/Passive-ETFs/Gold-ETF.html</t>
  </si>
  <si>
    <t>https://www.amfiindia.com/otherdata/tracking-error</t>
  </si>
  <si>
    <t>https://finance.yahoo.com/quote/BSLGOLDETF.NS/history/</t>
  </si>
  <si>
    <t>LIC MF Gold Exchange Traded Fund (LICMFGOLD.NS) — Daily Tracker</t>
  </si>
  <si>
    <t>LIC MF Gold Exchange Traded Fund</t>
  </si>
  <si>
    <t>Daily NAV values updated from the user-supplied LIC Mutual Fund / AMFI extract: ₹136.3462 on 07-Sep-2026 through ₹137.2833 on 18-Sep-2026. Market close source: Yahoo Finance. LIC snapshot reports TER as NA; TD values were not reliably reported.</t>
  </si>
  <si>
    <t>LICMFGOLD.NS</t>
  </si>
  <si>
    <t>Not reliably reported</t>
  </si>
  <si>
    <t>Daily public series available (LIC Mutual Fund / AMFI extract supplied by user)</t>
  </si>
  <si>
    <t>User-supplied LIC Mutual Fund NAV extract (LIC MF Gold Exchange Traded Fund); daily values verified for 07-Sep-2026 to 18-Sep-2026.</t>
  </si>
  <si>
    <t>https://www.licmf.com/snapshot/licmf-gold-exchange-traded-fund/LIC193</t>
  </si>
  <si>
    <t>https://www.licmf.com/assets/downloads/sai_sid_kim/2025-2026/39-856338300.pdf</t>
  </si>
  <si>
    <t>https://finance.yahoo.com/quote/LICMFGOLD.NS/history/</t>
  </si>
  <si>
    <t>Daily Gold ETF Price, NAV, TER and Tracking Difference Tracker</t>
  </si>
  <si>
    <t>Scope</t>
  </si>
  <si>
    <t>Date-wise tracker from 7-Sep-2026 through 21-Sep-2026 for the five allocated ETFs.</t>
  </si>
  <si>
    <t>Daily price</t>
  </si>
  <si>
    <t>Yahoo Finance historical market closing price, INR per ETF unit.</t>
  </si>
  <si>
    <t>Daily NAV</t>
  </si>
  <si>
    <t>Official/public historical NAV where available. For GOLDBETA and LICMFGOLD, only the latest publicly exposed NAV is entered; other dates are left blank.</t>
  </si>
  <si>
    <t>TER</t>
  </si>
  <si>
    <t>Periodic expense-ratio disclosure, repeated for reference with its reporting date. TER is not a daily market observation.</t>
  </si>
  <si>
    <t>Tracking difference</t>
  </si>
  <si>
    <t>Periodic disclosure, repeated for reference with its reporting date. Blank means no reliable public value was found; tracking error was not substituted.</t>
  </si>
  <si>
    <t>Non-trading days</t>
  </si>
  <si>
    <t>Rows are retained for date continuity; no market close/NAV is shown where no observation was retrieved.</t>
  </si>
  <si>
    <t>Data caveat</t>
  </si>
  <si>
    <t>This is a research tracker, not a broker ledger. Validate prices/NAV/TER/TD against official AMC/AMFI disclosures and contract notes before relying on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</si>
</sst>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D9770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3" borderId="1" xfId="0" applyFont="1" applyFill="1" applyBorder="1"/>
    <xf numFmtId="0" fontId="0" fillId="0" borderId="1" xfId="0" applyBorder="1" applyAlignment="1">
      <alignment vertical="top" wrapText="1"/>
    </xf>
    <xf numFmtId="0" fontId="0" fillId="0" borderId="1" xfId="0" applyBorder="1"/>
    <xf numFmtId="10" fontId="0" fillId="0" borderId="1" xfId="0" applyNumberFormat="1" applyBorder="1"/>
    <xf numFmtId="0" fontId="3" fillId="2" borderId="1" xfId="0" applyFont="1" applyFill="1" applyBorder="1" applyAlignment="1">
      <alignment vertical="center" wrapText="1"/>
    </xf>
    <xf numFmtId="164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/>
    </xf>
    <xf numFmtId="165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vertical="top"/>
    </xf>
    <xf numFmtId="0" fontId="0" fillId="0" borderId="1" xfId="0" applyBorder="1" applyAlignment="1">
      <alignment wrapText="1"/>
    </xf>
    <xf numFmtId="0" fontId="4" fillId="4" borderId="0" xfId="0" applyFont="1" applyFill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/>
    <xf numFmtId="0" fontId="6" fillId="0" borderId="0" xfId="0" applyFont="1"/>
    <xf numFmtId="0" fontId="8" fillId="5" borderId="0" xfId="0" applyFont="1" applyFill="1"/>
    <xf numFmtId="168" fontId="0" fillId="0" borderId="0" xfId="0" applyNumberFormat="1"/>
    <xf numFmtId="169" fontId="0" fillId="0" borderId="0" xfId="0" applyNumberFormat="1"/>
    <xf numFmtId="168" fontId="6" fillId="0" borderId="0" xfId="0" applyNumberFormat="1" applyFont="1"/>
    <xf numFmtId="169" fontId="6" fillId="0" borderId="0" xfId="0" applyNumberFormat="1" applyFont="1"/>
    <xf numFmtId="0" fontId="9" fillId="6" borderId="0" xfId="0" applyFont="1" applyFill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0" fontId="0" fillId="0" borderId="0" xfId="0"/>
    <xf numFmtId="168" fontId="7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4" fillId="4" borderId="0" xfId="0" applyFont="1" applyFill="1"/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top" wrapText="1"/>
    </xf>
    <xf numFmtId="0" fontId="0" fillId="0" borderId="2" xfId="0" applyBorder="1"/>
    <xf numFmtId="0" fontId="1" fillId="2" borderId="0" xfId="0" applyFont="1" applyFill="1"/>
    <xf numFmtId="0" fontId="3" fillId="2" borderId="0" xfId="0" applyFont="1" applyFill="1"/>
    <xf numFmtId="0" fontId="10" fillId="0" borderId="0" xfId="0" applyFont="1" applyAlignment="1">
      <alignment vertical="center"/>
    </xf>
    <xf numFmtId="0" fontId="0" fillId="0" borderId="0" xfId="0" applyAlignment="1"/>
    <xf numFmtId="167" fontId="1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Holding Value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GOLDBETA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Dashboard!$A$2:$A$16</c:f>
              <c:numCache>
                <c:formatCode>dd\-mmm\-yy</c:formatCode>
                <c:ptCount val="15"/>
                <c:pt idx="0">
                  <c:v>46272</c:v>
                </c:pt>
                <c:pt idx="1">
                  <c:v>46273</c:v>
                </c:pt>
                <c:pt idx="2">
                  <c:v>46274</c:v>
                </c:pt>
                <c:pt idx="3">
                  <c:v>46275</c:v>
                </c:pt>
                <c:pt idx="4">
                  <c:v>46276</c:v>
                </c:pt>
                <c:pt idx="5">
                  <c:v>46280</c:v>
                </c:pt>
                <c:pt idx="6">
                  <c:v>46281</c:v>
                </c:pt>
                <c:pt idx="7">
                  <c:v>46282</c:v>
                </c:pt>
                <c:pt idx="8">
                  <c:v>46283</c:v>
                </c:pt>
              </c:numCache>
            </c:numRef>
          </c:cat>
          <c:val>
            <c:numRef>
              <c:f>Dashboard!$C$1:$C$16</c:f>
              <c:numCache>
                <c:formatCode>[$₹-4009]#,##0.00</c:formatCode>
                <c:ptCount val="16"/>
                <c:pt idx="0" formatCode="General">
                  <c:v>0</c:v>
                </c:pt>
                <c:pt idx="1">
                  <c:v>301568</c:v>
                </c:pt>
                <c:pt idx="2">
                  <c:v>301921.40000000002</c:v>
                </c:pt>
                <c:pt idx="3">
                  <c:v>302157</c:v>
                </c:pt>
                <c:pt idx="4">
                  <c:v>302746</c:v>
                </c:pt>
                <c:pt idx="5">
                  <c:v>300390</c:v>
                </c:pt>
                <c:pt idx="6">
                  <c:v>296973.8</c:v>
                </c:pt>
                <c:pt idx="7">
                  <c:v>299565.40000000002</c:v>
                </c:pt>
                <c:pt idx="8">
                  <c:v>298858.59999999998</c:v>
                </c:pt>
                <c:pt idx="9">
                  <c:v>302981.59999999998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39-489D-B774-3F9103A0E094}"/>
            </c:ext>
          </c:extLst>
        </c:ser>
        <c:ser>
          <c:idx val="1"/>
          <c:order val="1"/>
          <c:tx>
            <c:v>HDFCGOLD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Dashboard!$A$2:$A$16</c:f>
              <c:numCache>
                <c:formatCode>dd\-mmm\-yy</c:formatCode>
                <c:ptCount val="15"/>
                <c:pt idx="0">
                  <c:v>46272</c:v>
                </c:pt>
                <c:pt idx="1">
                  <c:v>46273</c:v>
                </c:pt>
                <c:pt idx="2">
                  <c:v>46274</c:v>
                </c:pt>
                <c:pt idx="3">
                  <c:v>46275</c:v>
                </c:pt>
                <c:pt idx="4">
                  <c:v>46276</c:v>
                </c:pt>
                <c:pt idx="5">
                  <c:v>46280</c:v>
                </c:pt>
                <c:pt idx="6">
                  <c:v>46281</c:v>
                </c:pt>
                <c:pt idx="7">
                  <c:v>46282</c:v>
                </c:pt>
                <c:pt idx="8">
                  <c:v>46283</c:v>
                </c:pt>
              </c:numCache>
            </c:numRef>
          </c:cat>
          <c:val>
            <c:numRef>
              <c:f>Dashboard!$E$1:$E$16</c:f>
              <c:numCache>
                <c:formatCode>[$₹-4009]#,##0.00</c:formatCode>
                <c:ptCount val="16"/>
                <c:pt idx="0" formatCode="General">
                  <c:v>0</c:v>
                </c:pt>
                <c:pt idx="1">
                  <c:v>251187.92</c:v>
                </c:pt>
                <c:pt idx="2">
                  <c:v>251768.12</c:v>
                </c:pt>
                <c:pt idx="3">
                  <c:v>251536.04</c:v>
                </c:pt>
                <c:pt idx="4">
                  <c:v>252367.66</c:v>
                </c:pt>
                <c:pt idx="5">
                  <c:v>250201.58</c:v>
                </c:pt>
                <c:pt idx="6">
                  <c:v>247319.92</c:v>
                </c:pt>
                <c:pt idx="7">
                  <c:v>249698.74</c:v>
                </c:pt>
                <c:pt idx="8">
                  <c:v>248867.12</c:v>
                </c:pt>
                <c:pt idx="9">
                  <c:v>252657.76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39-489D-B774-3F9103A0E094}"/>
            </c:ext>
          </c:extLst>
        </c:ser>
        <c:ser>
          <c:idx val="2"/>
          <c:order val="2"/>
          <c:tx>
            <c:v>GOLDIETF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Dashboard!$A$2:$A$16</c:f>
              <c:numCache>
                <c:formatCode>dd\-mmm\-yy</c:formatCode>
                <c:ptCount val="15"/>
                <c:pt idx="0">
                  <c:v>46272</c:v>
                </c:pt>
                <c:pt idx="1">
                  <c:v>46273</c:v>
                </c:pt>
                <c:pt idx="2">
                  <c:v>46274</c:v>
                </c:pt>
                <c:pt idx="3">
                  <c:v>46275</c:v>
                </c:pt>
                <c:pt idx="4">
                  <c:v>46276</c:v>
                </c:pt>
                <c:pt idx="5">
                  <c:v>46280</c:v>
                </c:pt>
                <c:pt idx="6">
                  <c:v>46281</c:v>
                </c:pt>
                <c:pt idx="7">
                  <c:v>46282</c:v>
                </c:pt>
                <c:pt idx="8">
                  <c:v>46283</c:v>
                </c:pt>
              </c:numCache>
            </c:numRef>
          </c:cat>
          <c:val>
            <c:numRef>
              <c:f>Dashboard!$G$1:$G$16</c:f>
              <c:numCache>
                <c:formatCode>[$₹-4009]#,##0.00</c:formatCode>
                <c:ptCount val="16"/>
                <c:pt idx="0" formatCode="General">
                  <c:v>0</c:v>
                </c:pt>
                <c:pt idx="1">
                  <c:v>200735.44</c:v>
                </c:pt>
                <c:pt idx="2">
                  <c:v>201306.72</c:v>
                </c:pt>
                <c:pt idx="3">
                  <c:v>201291.28</c:v>
                </c:pt>
                <c:pt idx="4">
                  <c:v>201878</c:v>
                </c:pt>
                <c:pt idx="5">
                  <c:v>200148.72</c:v>
                </c:pt>
                <c:pt idx="6">
                  <c:v>197539.36</c:v>
                </c:pt>
                <c:pt idx="7">
                  <c:v>199855.35999999999</c:v>
                </c:pt>
                <c:pt idx="8">
                  <c:v>199129.68</c:v>
                </c:pt>
                <c:pt idx="9">
                  <c:v>202511.04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39-489D-B774-3F9103A0E094}"/>
            </c:ext>
          </c:extLst>
        </c:ser>
        <c:ser>
          <c:idx val="3"/>
          <c:order val="3"/>
          <c:tx>
            <c:v>BSLGOLDETF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Dashboard!$A$2:$A$16</c:f>
              <c:numCache>
                <c:formatCode>dd\-mmm\-yy</c:formatCode>
                <c:ptCount val="15"/>
                <c:pt idx="0">
                  <c:v>46272</c:v>
                </c:pt>
                <c:pt idx="1">
                  <c:v>46273</c:v>
                </c:pt>
                <c:pt idx="2">
                  <c:v>46274</c:v>
                </c:pt>
                <c:pt idx="3">
                  <c:v>46275</c:v>
                </c:pt>
                <c:pt idx="4">
                  <c:v>46276</c:v>
                </c:pt>
                <c:pt idx="5">
                  <c:v>46280</c:v>
                </c:pt>
                <c:pt idx="6">
                  <c:v>46281</c:v>
                </c:pt>
                <c:pt idx="7">
                  <c:v>46282</c:v>
                </c:pt>
                <c:pt idx="8">
                  <c:v>46283</c:v>
                </c:pt>
              </c:numCache>
            </c:numRef>
          </c:cat>
          <c:val>
            <c:numRef>
              <c:f>Dashboard!$I$1:$I$16</c:f>
              <c:numCache>
                <c:formatCode>[$₹-4009]#,##0.00</c:formatCode>
                <c:ptCount val="16"/>
                <c:pt idx="0" formatCode="General">
                  <c:v>0</c:v>
                </c:pt>
                <c:pt idx="1">
                  <c:v>148674.01999999999</c:v>
                </c:pt>
                <c:pt idx="2">
                  <c:v>148840.67000000001</c:v>
                </c:pt>
                <c:pt idx="3">
                  <c:v>148851.78</c:v>
                </c:pt>
                <c:pt idx="4">
                  <c:v>149240.63</c:v>
                </c:pt>
                <c:pt idx="5">
                  <c:v>148040.75</c:v>
                </c:pt>
                <c:pt idx="6">
                  <c:v>146518.68</c:v>
                </c:pt>
                <c:pt idx="7">
                  <c:v>147651.9</c:v>
                </c:pt>
                <c:pt idx="8">
                  <c:v>147285.26999999999</c:v>
                </c:pt>
                <c:pt idx="9">
                  <c:v>149462.82999999999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39-489D-B774-3F9103A0E094}"/>
            </c:ext>
          </c:extLst>
        </c:ser>
        <c:ser>
          <c:idx val="4"/>
          <c:order val="4"/>
          <c:tx>
            <c:v>LICMFGOLD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Dashboard!$A$2:$A$16</c:f>
              <c:numCache>
                <c:formatCode>dd\-mmm\-yy</c:formatCode>
                <c:ptCount val="15"/>
                <c:pt idx="0">
                  <c:v>46272</c:v>
                </c:pt>
                <c:pt idx="1">
                  <c:v>46273</c:v>
                </c:pt>
                <c:pt idx="2">
                  <c:v>46274</c:v>
                </c:pt>
                <c:pt idx="3">
                  <c:v>46275</c:v>
                </c:pt>
                <c:pt idx="4">
                  <c:v>46276</c:v>
                </c:pt>
                <c:pt idx="5">
                  <c:v>46280</c:v>
                </c:pt>
                <c:pt idx="6">
                  <c:v>46281</c:v>
                </c:pt>
                <c:pt idx="7">
                  <c:v>46282</c:v>
                </c:pt>
                <c:pt idx="8">
                  <c:v>46283</c:v>
                </c:pt>
              </c:numCache>
            </c:numRef>
          </c:cat>
          <c:val>
            <c:numRef>
              <c:f>Dashboard!$K$1:$K$16</c:f>
              <c:numCache>
                <c:formatCode>[$₹-4009]#,##0.00</c:formatCode>
                <c:ptCount val="16"/>
                <c:pt idx="0" formatCode="General">
                  <c:v>0</c:v>
                </c:pt>
                <c:pt idx="1">
                  <c:v>100494.3</c:v>
                </c:pt>
                <c:pt idx="2">
                  <c:v>100567.6</c:v>
                </c:pt>
                <c:pt idx="3">
                  <c:v>100347.7</c:v>
                </c:pt>
                <c:pt idx="4">
                  <c:v>100567.6</c:v>
                </c:pt>
                <c:pt idx="5">
                  <c:v>99907.900000000009</c:v>
                </c:pt>
                <c:pt idx="6">
                  <c:v>98185.349999999991</c:v>
                </c:pt>
                <c:pt idx="7">
                  <c:v>99394.8</c:v>
                </c:pt>
                <c:pt idx="8">
                  <c:v>99174.900000000009</c:v>
                </c:pt>
                <c:pt idx="9">
                  <c:v>100897.45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39-489D-B774-3F9103A0E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1"/>
        </c:title>
        <c:numFmt formatCode="dd\-mmm\-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 (₹)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Current Allocation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strRef>
              <c:f>'Summary Dashboard'!$A$7:$A$11</c:f>
              <c:strCache>
                <c:ptCount val="5"/>
                <c:pt idx="0">
                  <c:v>GOLDBETA</c:v>
                </c:pt>
                <c:pt idx="1">
                  <c:v>HDFCGOLD</c:v>
                </c:pt>
                <c:pt idx="2">
                  <c:v>GOLDIETF</c:v>
                </c:pt>
                <c:pt idx="3">
                  <c:v>BSLGOLDETF</c:v>
                </c:pt>
                <c:pt idx="4">
                  <c:v>LICMFGOLD</c:v>
                </c:pt>
              </c:strCache>
            </c:strRef>
          </c:cat>
          <c:val>
            <c:numRef>
              <c:f>'Summary Dashboard'!$C$7:$C$11</c:f>
              <c:numCache>
                <c:formatCode>[$₹-4009]#,##0.00;[Red]\([$₹-4009]#,##0.00\)</c:formatCode>
                <c:ptCount val="5"/>
                <c:pt idx="0">
                  <c:v>302981.59999999998</c:v>
                </c:pt>
                <c:pt idx="1">
                  <c:v>252657.76</c:v>
                </c:pt>
                <c:pt idx="2">
                  <c:v>202511.04</c:v>
                </c:pt>
                <c:pt idx="3">
                  <c:v>149462.82999999999</c:v>
                </c:pt>
                <c:pt idx="4">
                  <c:v>100897.45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F-45B2-9928-C0E7B2DE1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13</xdr:row>
      <xdr:rowOff>0</xdr:rowOff>
    </xdr:from>
    <xdr:ext cx="43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I4" sqref="I4"/>
    </sheetView>
  </sheetViews>
  <sheetFormatPr defaultRowHeight="14.4" x14ac:dyDescent="0.3"/>
  <cols>
    <col min="1" max="7" width="16" customWidth="1"/>
    <col min="9" max="9" width="24.44140625" customWidth="1"/>
    <col min="10" max="10" width="11.109375" bestFit="1" customWidth="1"/>
    <col min="11" max="11" width="30" customWidth="1"/>
  </cols>
  <sheetData>
    <row r="1" spans="1:11" ht="18" customHeight="1" x14ac:dyDescent="0.3">
      <c r="A1" s="26" t="s">
        <v>0</v>
      </c>
      <c r="B1" s="22"/>
      <c r="C1" s="22"/>
      <c r="D1" s="22"/>
      <c r="E1" s="22"/>
      <c r="F1" s="22"/>
      <c r="G1" s="22"/>
      <c r="H1" s="22"/>
      <c r="J1" s="25" t="s">
        <v>1</v>
      </c>
      <c r="K1" s="22"/>
    </row>
    <row r="2" spans="1:11" x14ac:dyDescent="0.3">
      <c r="J2" s="14" t="s">
        <v>2</v>
      </c>
      <c r="K2" t="s">
        <v>3</v>
      </c>
    </row>
    <row r="3" spans="1:11" x14ac:dyDescent="0.3">
      <c r="A3" s="27" t="s">
        <v>4</v>
      </c>
      <c r="B3" s="22"/>
      <c r="C3" s="27" t="s">
        <v>5</v>
      </c>
      <c r="D3" s="22"/>
      <c r="E3" s="27" t="s">
        <v>6</v>
      </c>
      <c r="F3" s="22"/>
      <c r="G3" s="27" t="s">
        <v>7</v>
      </c>
      <c r="H3" s="22"/>
      <c r="I3" s="32" t="s">
        <v>8</v>
      </c>
      <c r="J3" s="33"/>
      <c r="K3" t="s">
        <v>9</v>
      </c>
    </row>
    <row r="4" spans="1:11" x14ac:dyDescent="0.3">
      <c r="A4" s="21">
        <f>LOOKUP(2,1/(Dashboard!A:A&lt;&gt;""),Dashboard!A:A)</f>
        <v>46283</v>
      </c>
      <c r="B4" s="22"/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>1008510.6799999999</v>
      </c>
      <c r="D4" s="22"/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>15195.109999999986</v>
      </c>
      <c r="F4" s="22"/>
      <c r="G4" s="23">
        <f>C4 - (Dashboard!C2+Dashboard!E2+Dashboard!G2+Dashboard!I2+Dashboard!K2)</f>
        <v>5850.9999999997672</v>
      </c>
      <c r="H4" s="22"/>
      <c r="I4" s="34">
        <f>LOOKUP(2,1/(Dashboard!L:L&lt;&gt;""),Dashboard!L:L)</f>
        <v>161432.68464899799</v>
      </c>
      <c r="J4" s="33"/>
      <c r="K4" t="s">
        <v>10</v>
      </c>
    </row>
    <row r="6" spans="1:11" x14ac:dyDescent="0.3">
      <c r="A6" s="11" t="s">
        <v>11</v>
      </c>
      <c r="B6" s="11" t="s">
        <v>12</v>
      </c>
      <c r="C6" s="11" t="s">
        <v>13</v>
      </c>
      <c r="D6" s="11" t="s">
        <v>14</v>
      </c>
      <c r="E6" s="11" t="s">
        <v>15</v>
      </c>
      <c r="F6" s="11" t="s">
        <v>16</v>
      </c>
      <c r="G6" s="15" t="s">
        <v>17</v>
      </c>
    </row>
    <row r="7" spans="1:11" x14ac:dyDescent="0.3">
      <c r="A7" t="s">
        <v>18</v>
      </c>
      <c r="B7" s="16">
        <f>LOOKUP(2,1/(Dashboard!B:B&lt;&gt;""),Dashboard!B:B)</f>
        <v>128.6</v>
      </c>
      <c r="C7" s="16">
        <f>LOOKUP(2,1/(Dashboard!C:C&lt;&gt;""),Dashboard!C:C)</f>
        <v>302981.59999999998</v>
      </c>
      <c r="D7" s="17">
        <f>C7/C$4</f>
        <v>0.30042478082631707</v>
      </c>
      <c r="E7" s="16">
        <f>C7 - INDEX(Dashboard!C:C, MATCH(9.99E+307,Dashboard!C:C)-1)</f>
        <v>4123</v>
      </c>
      <c r="F7" s="17">
        <f>E7 / INDEX(Dashboard!C:C, MATCH(9.99E+307,Dashboard!C:C)-1)</f>
        <v>1.3795821836815138E-2</v>
      </c>
      <c r="G7" s="16">
        <f>LOOKUP(2,1/(GOLDBETA!D:D&lt;&gt;""),GOLDBETA!D:D) - INDEX(GOLDBETA!D:D, MATCH(9.99E+307,GOLDBETA!D:D)-1)</f>
        <v>1.661900000000017</v>
      </c>
    </row>
    <row r="8" spans="1:11" x14ac:dyDescent="0.3">
      <c r="A8" t="s">
        <v>19</v>
      </c>
      <c r="B8" s="16">
        <f>LOOKUP(2,1/(Dashboard!D:D&lt;&gt;""),Dashboard!D:D)</f>
        <v>130.63999999999999</v>
      </c>
      <c r="C8" s="16">
        <f>LOOKUP(2,1/(Dashboard!E:E&lt;&gt;""),Dashboard!E:E)</f>
        <v>252657.76</v>
      </c>
      <c r="D8" s="17">
        <f>C8/C$4</f>
        <v>0.25052561664493234</v>
      </c>
      <c r="E8" s="16">
        <f>C8 - INDEX(Dashboard!E:E, MATCH(9.99E+307,Dashboard!E:E)-1)</f>
        <v>3790.640000000014</v>
      </c>
      <c r="F8" s="17">
        <f>E8 / INDEX(Dashboard!E:E, MATCH(9.99E+307,Dashboard!E:E)-1)</f>
        <v>1.523158221945918E-2</v>
      </c>
      <c r="G8" s="16">
        <f>LOOKUP(2,1/(HDFCGOLD!D:D&lt;&gt;""),HDFCGOLD!D:D) - INDEX(HDFCGOLD!D:D, MATCH(9.99E+307,HDFCGOLD!D:D)-1)</f>
        <v>1.6824000000000012</v>
      </c>
    </row>
    <row r="9" spans="1:11" x14ac:dyDescent="0.3">
      <c r="A9" t="s">
        <v>20</v>
      </c>
      <c r="B9" s="16">
        <f>LOOKUP(2,1/(Dashboard!F:F&lt;&gt;""),Dashboard!F:F)</f>
        <v>131.16</v>
      </c>
      <c r="C9" s="16">
        <f>LOOKUP(2,1/(Dashboard!G:G&lt;&gt;""),Dashboard!G:G)</f>
        <v>202511.04</v>
      </c>
      <c r="D9" s="17">
        <f>C9/C$4</f>
        <v>0.20080207777274112</v>
      </c>
      <c r="E9" s="16">
        <f>C9 - INDEX(Dashboard!G:G, MATCH(9.99E+307,Dashboard!G:G)-1)</f>
        <v>3381.3600000000151</v>
      </c>
      <c r="F9" s="17">
        <f>E9 / INDEX(Dashboard!G:G, MATCH(9.99E+307,Dashboard!G:G)-1)</f>
        <v>1.698069318446158E-2</v>
      </c>
      <c r="G9" s="16">
        <f>LOOKUP(2,1/(GOLDIETF!D:D&lt;&gt;""),GOLDIETF!D:D) - INDEX(GOLDIETF!D:D, MATCH(9.99E+307,GOLDIETF!D:D)-1)</f>
        <v>1.6796999999999969</v>
      </c>
    </row>
    <row r="10" spans="1:11" x14ac:dyDescent="0.3">
      <c r="A10" t="s">
        <v>21</v>
      </c>
      <c r="B10" s="16">
        <f>LOOKUP(2,1/(Dashboard!H:H&lt;&gt;""),Dashboard!H:H)</f>
        <v>134.53</v>
      </c>
      <c r="C10" s="16">
        <f>LOOKUP(2,1/(Dashboard!I:I&lt;&gt;""),Dashboard!I:I)</f>
        <v>149462.82999999999</v>
      </c>
      <c r="D10" s="17">
        <f>C10/C$4</f>
        <v>0.14820153416719395</v>
      </c>
      <c r="E10" s="16">
        <f>C10 - INDEX(Dashboard!I:I, MATCH(9.99E+307,Dashboard!I:I)-1)</f>
        <v>2177.5599999999977</v>
      </c>
      <c r="F10" s="17">
        <f>E10 / INDEX(Dashboard!I:I, MATCH(9.99E+307,Dashboard!I:I)-1)</f>
        <v>1.4784642075884424E-2</v>
      </c>
      <c r="G10" s="16">
        <f>LOOKUP(2,1/(BSLGOLDETF!D:D&lt;&gt;""),BSLGOLDETF!D:D) - INDEX(BSLGOLDETF!D:D, MATCH(9.99E+307,BSLGOLDETF!D:D)-1)</f>
        <v>1.729299999999995</v>
      </c>
    </row>
    <row r="11" spans="1:11" x14ac:dyDescent="0.3">
      <c r="A11" t="s">
        <v>22</v>
      </c>
      <c r="B11" s="16">
        <f>LOOKUP(2,1/(Dashboard!J:J&lt;&gt;""),Dashboard!J:J)</f>
        <v>137.65</v>
      </c>
      <c r="C11" s="16">
        <f>LOOKUP(2,1/(Dashboard!K:K&lt;&gt;""),Dashboard!K:K)</f>
        <v>100897.45</v>
      </c>
      <c r="D11" s="17">
        <f>C11/C$4</f>
        <v>0.10004599058881558</v>
      </c>
      <c r="E11" s="16">
        <f>C11 - INDEX(Dashboard!K:K, MATCH(9.99E+307,Dashboard!K:K)-1)</f>
        <v>1722.5499999999884</v>
      </c>
      <c r="F11" s="17">
        <f>E11 / INDEX(Dashboard!K:K, MATCH(9.99E+307,Dashboard!K:K)-1)</f>
        <v>1.7368810051736763E-2</v>
      </c>
      <c r="G11" s="16">
        <f>LOOKUP(2,1/(LICMFGOLD!D:D&lt;&gt;""),LICMFGOLD!D:D) - INDEX(LICMFGOLD!D:D, MATCH(9.99E+307,LICMFGOLD!D:D)-1)</f>
        <v>1.767799999999994</v>
      </c>
    </row>
    <row r="12" spans="1:11" x14ac:dyDescent="0.3">
      <c r="A12" s="14" t="s">
        <v>23</v>
      </c>
      <c r="B12" s="16"/>
      <c r="C12" s="18">
        <f>SUM(C7:C11)</f>
        <v>1008510.6799999999</v>
      </c>
      <c r="D12" s="19">
        <v>1</v>
      </c>
      <c r="E12" s="18">
        <f>SUM(E7:E11)</f>
        <v>15195.110000000015</v>
      </c>
      <c r="F12" s="19">
        <f>E12 / (C12 - E12)</f>
        <v>1.5297364159911453E-2</v>
      </c>
    </row>
  </sheetData>
  <mergeCells count="10">
    <mergeCell ref="J1:K1"/>
    <mergeCell ref="A1:H1"/>
    <mergeCell ref="C3:D3"/>
    <mergeCell ref="A3:B3"/>
    <mergeCell ref="G3:H3"/>
    <mergeCell ref="E3:F3"/>
    <mergeCell ref="A4:B4"/>
    <mergeCell ref="G4:H4"/>
    <mergeCell ref="E4:F4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"/>
  <sheetViews>
    <sheetView workbookViewId="0"/>
  </sheetViews>
  <sheetFormatPr defaultRowHeight="14.4" x14ac:dyDescent="0.3"/>
  <cols>
    <col min="1" max="11" width="18" customWidth="1"/>
    <col min="12" max="12" width="22" customWidth="1"/>
  </cols>
  <sheetData>
    <row r="1" spans="1:12" x14ac:dyDescent="0.3">
      <c r="A1" s="11" t="s">
        <v>24</v>
      </c>
      <c r="B1" s="11" t="s">
        <v>25</v>
      </c>
      <c r="C1" s="11" t="s">
        <v>26</v>
      </c>
      <c r="D1" s="11" t="s">
        <v>27</v>
      </c>
      <c r="E1" s="11" t="s">
        <v>28</v>
      </c>
      <c r="F1" s="11" t="s">
        <v>29</v>
      </c>
      <c r="G1" s="11" t="s">
        <v>30</v>
      </c>
      <c r="H1" s="11" t="s">
        <v>31</v>
      </c>
      <c r="I1" s="11" t="s">
        <v>32</v>
      </c>
      <c r="J1" s="11" t="s">
        <v>33</v>
      </c>
      <c r="K1" s="11" t="s">
        <v>34</v>
      </c>
      <c r="L1" s="20" t="s">
        <v>35</v>
      </c>
    </row>
    <row r="2" spans="1:12" x14ac:dyDescent="0.3">
      <c r="A2" s="12">
        <v>46272</v>
      </c>
      <c r="B2" s="13">
        <v>128</v>
      </c>
      <c r="C2" s="13">
        <v>301568</v>
      </c>
      <c r="D2" s="13">
        <v>129.88</v>
      </c>
      <c r="E2" s="13">
        <v>251187.92</v>
      </c>
      <c r="F2" s="13">
        <v>130.01</v>
      </c>
      <c r="G2" s="13">
        <v>200735.44</v>
      </c>
      <c r="H2" s="13">
        <v>133.82</v>
      </c>
      <c r="I2" s="13">
        <v>148674.01999999999</v>
      </c>
      <c r="J2" s="13">
        <v>137.1</v>
      </c>
      <c r="K2" s="13">
        <v>100494.3</v>
      </c>
      <c r="L2" s="13">
        <v>160985.13885488329</v>
      </c>
    </row>
    <row r="3" spans="1:12" x14ac:dyDescent="0.3">
      <c r="A3" s="12">
        <v>46273</v>
      </c>
      <c r="B3" s="13">
        <v>128.15</v>
      </c>
      <c r="C3" s="13">
        <v>301921.40000000002</v>
      </c>
      <c r="D3" s="13">
        <v>130.18</v>
      </c>
      <c r="E3" s="13">
        <v>251768.12</v>
      </c>
      <c r="F3" s="13">
        <v>130.38</v>
      </c>
      <c r="G3" s="13">
        <v>201306.72</v>
      </c>
      <c r="H3" s="13">
        <v>133.97</v>
      </c>
      <c r="I3" s="13">
        <v>148840.67000000001</v>
      </c>
      <c r="J3" s="13">
        <v>137.19999999999999</v>
      </c>
      <c r="K3" s="13">
        <v>100567.6</v>
      </c>
      <c r="L3" s="13">
        <v>159737.11732378291</v>
      </c>
    </row>
    <row r="4" spans="1:12" x14ac:dyDescent="0.3">
      <c r="A4" s="12">
        <v>46274</v>
      </c>
      <c r="B4" s="13">
        <v>128.25</v>
      </c>
      <c r="C4" s="13">
        <v>302157</v>
      </c>
      <c r="D4" s="13">
        <v>130.06</v>
      </c>
      <c r="E4" s="13">
        <v>251536.04</v>
      </c>
      <c r="F4" s="13">
        <v>130.37</v>
      </c>
      <c r="G4" s="13">
        <v>201291.28</v>
      </c>
      <c r="H4" s="13">
        <v>133.97999999999999</v>
      </c>
      <c r="I4" s="13">
        <v>148851.78</v>
      </c>
      <c r="J4" s="13">
        <v>136.9</v>
      </c>
      <c r="K4" s="13">
        <v>100347.7</v>
      </c>
      <c r="L4" s="13">
        <v>161080.4539117644</v>
      </c>
    </row>
    <row r="5" spans="1:12" x14ac:dyDescent="0.3">
      <c r="A5" s="12">
        <v>46275</v>
      </c>
      <c r="B5" s="13">
        <v>128.5</v>
      </c>
      <c r="C5" s="13">
        <v>302746</v>
      </c>
      <c r="D5" s="13">
        <v>130.49</v>
      </c>
      <c r="E5" s="13">
        <v>252367.66</v>
      </c>
      <c r="F5" s="13">
        <v>130.75</v>
      </c>
      <c r="G5" s="13">
        <v>201878</v>
      </c>
      <c r="H5" s="13">
        <v>134.33000000000001</v>
      </c>
      <c r="I5" s="13">
        <v>149240.63</v>
      </c>
      <c r="J5" s="13">
        <v>137.19999999999999</v>
      </c>
      <c r="K5" s="13">
        <v>100567.6</v>
      </c>
      <c r="L5" s="13">
        <v>159636.8418511324</v>
      </c>
    </row>
    <row r="6" spans="1:12" x14ac:dyDescent="0.3">
      <c r="A6" s="12">
        <v>46276</v>
      </c>
      <c r="B6" s="13">
        <v>127.5</v>
      </c>
      <c r="C6" s="13">
        <v>300390</v>
      </c>
      <c r="D6" s="13">
        <v>129.37</v>
      </c>
      <c r="E6" s="13">
        <v>250201.58</v>
      </c>
      <c r="F6" s="13">
        <v>129.63</v>
      </c>
      <c r="G6" s="13">
        <v>200148.72</v>
      </c>
      <c r="H6" s="13">
        <v>133.25</v>
      </c>
      <c r="I6" s="13">
        <v>148040.75</v>
      </c>
      <c r="J6" s="13">
        <v>136.30000000000001</v>
      </c>
      <c r="K6" s="13">
        <v>99907.900000000009</v>
      </c>
      <c r="L6" s="13">
        <v>160673.16950131321</v>
      </c>
    </row>
    <row r="7" spans="1:12" x14ac:dyDescent="0.3">
      <c r="A7" s="12">
        <v>46280</v>
      </c>
      <c r="B7" s="13">
        <v>126.05</v>
      </c>
      <c r="C7" s="13">
        <v>296973.8</v>
      </c>
      <c r="D7" s="13">
        <v>127.88</v>
      </c>
      <c r="E7" s="13">
        <v>247319.92</v>
      </c>
      <c r="F7" s="13">
        <v>127.94</v>
      </c>
      <c r="G7" s="13">
        <v>197539.36</v>
      </c>
      <c r="H7" s="13">
        <v>131.88</v>
      </c>
      <c r="I7" s="13">
        <v>146518.68</v>
      </c>
      <c r="J7" s="13">
        <v>133.94999999999999</v>
      </c>
      <c r="K7" s="13">
        <v>98185.349999999991</v>
      </c>
      <c r="L7" s="13">
        <v>158132.35024334851</v>
      </c>
    </row>
    <row r="8" spans="1:12" x14ac:dyDescent="0.3">
      <c r="A8" s="12">
        <v>46281</v>
      </c>
      <c r="B8" s="13">
        <v>127.15</v>
      </c>
      <c r="C8" s="13">
        <v>299565.40000000002</v>
      </c>
      <c r="D8" s="13">
        <v>129.11000000000001</v>
      </c>
      <c r="E8" s="13">
        <v>249698.74</v>
      </c>
      <c r="F8" s="13">
        <v>129.44</v>
      </c>
      <c r="G8" s="13">
        <v>199855.35999999999</v>
      </c>
      <c r="H8" s="13">
        <v>132.9</v>
      </c>
      <c r="I8" s="13">
        <v>147651.9</v>
      </c>
      <c r="J8" s="13">
        <v>135.6</v>
      </c>
      <c r="K8" s="13">
        <v>99394.8</v>
      </c>
      <c r="L8" s="13">
        <v>160391.54022507209</v>
      </c>
    </row>
    <row r="9" spans="1:12" x14ac:dyDescent="0.3">
      <c r="A9" s="12">
        <v>46282</v>
      </c>
      <c r="B9" s="13">
        <v>126.85</v>
      </c>
      <c r="C9" s="13">
        <v>298858.59999999998</v>
      </c>
      <c r="D9" s="13">
        <v>128.68</v>
      </c>
      <c r="E9" s="13">
        <v>248867.12</v>
      </c>
      <c r="F9" s="13">
        <v>128.97</v>
      </c>
      <c r="G9" s="13">
        <v>199129.68</v>
      </c>
      <c r="H9" s="13">
        <v>132.57</v>
      </c>
      <c r="I9" s="13">
        <v>147285.26999999999</v>
      </c>
      <c r="J9" s="13">
        <v>135.30000000000001</v>
      </c>
      <c r="K9" s="13">
        <v>99174.900000000009</v>
      </c>
      <c r="L9" s="13">
        <v>161071.4432096385</v>
      </c>
    </row>
    <row r="10" spans="1:12" x14ac:dyDescent="0.3">
      <c r="A10" s="12">
        <v>46283</v>
      </c>
      <c r="B10" s="13">
        <v>128.6</v>
      </c>
      <c r="C10" s="13">
        <v>302981.59999999998</v>
      </c>
      <c r="D10" s="13">
        <v>130.63999999999999</v>
      </c>
      <c r="E10" s="13">
        <v>252657.76</v>
      </c>
      <c r="F10" s="13">
        <v>131.16</v>
      </c>
      <c r="G10" s="13">
        <v>202511.04</v>
      </c>
      <c r="H10" s="13">
        <v>134.53</v>
      </c>
      <c r="I10" s="13">
        <v>149462.82999999999</v>
      </c>
      <c r="J10" s="13">
        <v>137.65</v>
      </c>
      <c r="K10" s="13">
        <v>100897.45</v>
      </c>
      <c r="L10" s="13">
        <v>161432.68464899799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2"/>
  <sheetViews>
    <sheetView workbookViewId="0">
      <pane ySplit="10" topLeftCell="A11" activePane="bottomLeft" state="frozen"/>
      <selection pane="bottomLeft" sqref="A1:L1"/>
    </sheetView>
  </sheetViews>
  <sheetFormatPr defaultRowHeight="14.4" x14ac:dyDescent="0.3"/>
  <cols>
    <col min="1" max="1" width="15" customWidth="1"/>
    <col min="2" max="3" width="18" customWidth="1"/>
    <col min="4" max="4" width="14" customWidth="1"/>
    <col min="5" max="5" width="28" customWidth="1"/>
    <col min="6" max="6" width="17" customWidth="1"/>
    <col min="7" max="7" width="15" customWidth="1"/>
    <col min="8" max="9" width="20" customWidth="1"/>
    <col min="10" max="10" width="18" customWidth="1"/>
    <col min="11" max="12" width="30" customWidth="1"/>
  </cols>
  <sheetData>
    <row r="1" spans="1:12" ht="24" customHeight="1" x14ac:dyDescent="0.35">
      <c r="A1" s="30" t="s">
        <v>36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37</v>
      </c>
      <c r="B3" s="3" t="s">
        <v>38</v>
      </c>
      <c r="D3" s="1" t="s">
        <v>39</v>
      </c>
      <c r="E3" s="28" t="s">
        <v>40</v>
      </c>
      <c r="F3" s="22"/>
      <c r="G3" s="22"/>
      <c r="H3" s="22"/>
      <c r="I3" s="22"/>
      <c r="J3" s="22"/>
      <c r="K3" s="22"/>
      <c r="L3" s="22"/>
    </row>
    <row r="4" spans="1:12" x14ac:dyDescent="0.3">
      <c r="A4" s="1" t="s">
        <v>41</v>
      </c>
      <c r="B4" s="3" t="s">
        <v>42</v>
      </c>
      <c r="E4" s="22"/>
      <c r="F4" s="22"/>
      <c r="G4" s="22"/>
      <c r="H4" s="22"/>
      <c r="I4" s="22"/>
      <c r="J4" s="22"/>
      <c r="K4" s="22"/>
      <c r="L4" s="22"/>
    </row>
    <row r="5" spans="1:12" x14ac:dyDescent="0.3">
      <c r="A5" s="1" t="s">
        <v>43</v>
      </c>
      <c r="B5" s="4">
        <v>5.8999999999999999E-3</v>
      </c>
      <c r="E5" s="22"/>
      <c r="F5" s="22"/>
      <c r="G5" s="22"/>
      <c r="H5" s="22"/>
      <c r="I5" s="22"/>
      <c r="J5" s="22"/>
      <c r="K5" s="22"/>
      <c r="L5" s="22"/>
    </row>
    <row r="6" spans="1:12" x14ac:dyDescent="0.3">
      <c r="A6" s="1" t="s">
        <v>44</v>
      </c>
      <c r="B6" s="3" t="s">
        <v>45</v>
      </c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1" t="s">
        <v>46</v>
      </c>
      <c r="B7" s="4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1" t="s">
        <v>47</v>
      </c>
      <c r="B8" s="4" t="s">
        <v>48</v>
      </c>
      <c r="E8" s="29"/>
      <c r="F8" s="29"/>
      <c r="G8" s="29"/>
      <c r="H8" s="29"/>
      <c r="I8" s="29"/>
      <c r="J8" s="29"/>
      <c r="K8" s="29"/>
      <c r="L8" s="29"/>
    </row>
    <row r="9" spans="1:12" x14ac:dyDescent="0.3">
      <c r="A9" s="1" t="s">
        <v>49</v>
      </c>
      <c r="B9" s="3" t="s">
        <v>50</v>
      </c>
    </row>
    <row r="10" spans="1:12" ht="42" customHeight="1" x14ac:dyDescent="0.3">
      <c r="A10" s="5" t="s">
        <v>24</v>
      </c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 t="s">
        <v>57</v>
      </c>
      <c r="I10" s="5" t="s">
        <v>58</v>
      </c>
      <c r="J10" s="5" t="s">
        <v>59</v>
      </c>
      <c r="K10" s="5" t="s">
        <v>60</v>
      </c>
      <c r="L10" s="5" t="s">
        <v>61</v>
      </c>
    </row>
    <row r="11" spans="1:12" x14ac:dyDescent="0.3">
      <c r="A11" s="6">
        <v>46272</v>
      </c>
      <c r="B11" s="7" t="s">
        <v>62</v>
      </c>
      <c r="C11" s="8">
        <v>128</v>
      </c>
      <c r="D11" s="8">
        <v>127.3391</v>
      </c>
      <c r="E11" s="9">
        <f t="shared" ref="E11:E25" si="0">IFERROR(C11/D11-1,"")</f>
        <v>5.1900790880412551E-3</v>
      </c>
      <c r="F11" s="9">
        <v>5.8999999999999999E-3</v>
      </c>
      <c r="G11" s="7" t="s">
        <v>45</v>
      </c>
      <c r="H11" s="9"/>
      <c r="I11" s="9"/>
      <c r="J11" s="7" t="s">
        <v>50</v>
      </c>
      <c r="K11" s="2" t="s">
        <v>63</v>
      </c>
      <c r="L11" s="2" t="s">
        <v>63</v>
      </c>
    </row>
    <row r="12" spans="1:12" x14ac:dyDescent="0.3">
      <c r="A12" s="6">
        <v>46273</v>
      </c>
      <c r="B12" s="7" t="s">
        <v>64</v>
      </c>
      <c r="C12" s="8">
        <v>128.15</v>
      </c>
      <c r="D12" s="8">
        <v>127.6657</v>
      </c>
      <c r="E12" s="9">
        <f t="shared" si="0"/>
        <v>3.7935013084955393E-3</v>
      </c>
      <c r="F12" s="9">
        <v>5.8999999999999999E-3</v>
      </c>
      <c r="G12" s="7" t="s">
        <v>45</v>
      </c>
      <c r="H12" s="9"/>
      <c r="I12" s="9"/>
      <c r="J12" s="7" t="s">
        <v>50</v>
      </c>
      <c r="K12" s="2" t="s">
        <v>63</v>
      </c>
      <c r="L12" s="2" t="s">
        <v>63</v>
      </c>
    </row>
    <row r="13" spans="1:12" x14ac:dyDescent="0.3">
      <c r="A13" s="6">
        <v>46274</v>
      </c>
      <c r="B13" s="7" t="s">
        <v>65</v>
      </c>
      <c r="C13" s="8">
        <v>128.25</v>
      </c>
      <c r="D13" s="8">
        <v>127.8929</v>
      </c>
      <c r="E13" s="9">
        <f t="shared" si="0"/>
        <v>2.7921800193755342E-3</v>
      </c>
      <c r="F13" s="9">
        <v>5.8999999999999999E-3</v>
      </c>
      <c r="G13" s="7" t="s">
        <v>45</v>
      </c>
      <c r="H13" s="9"/>
      <c r="I13" s="9"/>
      <c r="J13" s="7" t="s">
        <v>50</v>
      </c>
      <c r="K13" s="2" t="s">
        <v>63</v>
      </c>
      <c r="L13" s="2" t="s">
        <v>63</v>
      </c>
    </row>
    <row r="14" spans="1:12" x14ac:dyDescent="0.3">
      <c r="A14" s="6">
        <v>46275</v>
      </c>
      <c r="B14" s="7" t="s">
        <v>66</v>
      </c>
      <c r="C14" s="8">
        <v>128.5</v>
      </c>
      <c r="D14" s="8">
        <v>127.88379999999999</v>
      </c>
      <c r="E14" s="9">
        <f t="shared" si="0"/>
        <v>4.8184367371004733E-3</v>
      </c>
      <c r="F14" s="9">
        <v>5.8999999999999999E-3</v>
      </c>
      <c r="G14" s="7" t="s">
        <v>45</v>
      </c>
      <c r="H14" s="9"/>
      <c r="I14" s="9"/>
      <c r="J14" s="7" t="s">
        <v>50</v>
      </c>
      <c r="K14" s="2" t="s">
        <v>63</v>
      </c>
      <c r="L14" s="2" t="s">
        <v>63</v>
      </c>
    </row>
    <row r="15" spans="1:12" x14ac:dyDescent="0.3">
      <c r="A15" s="6">
        <v>46276</v>
      </c>
      <c r="B15" s="7" t="s">
        <v>67</v>
      </c>
      <c r="C15" s="8">
        <v>127.5</v>
      </c>
      <c r="D15" s="8">
        <v>126.88330000000001</v>
      </c>
      <c r="E15" s="9">
        <f t="shared" si="0"/>
        <v>4.8603716958810494E-3</v>
      </c>
      <c r="F15" s="9">
        <v>5.8999999999999999E-3</v>
      </c>
      <c r="G15" s="7" t="s">
        <v>45</v>
      </c>
      <c r="H15" s="9"/>
      <c r="I15" s="9"/>
      <c r="J15" s="7" t="s">
        <v>50</v>
      </c>
      <c r="K15" s="2" t="s">
        <v>63</v>
      </c>
      <c r="L15" s="2" t="s">
        <v>63</v>
      </c>
    </row>
    <row r="16" spans="1:12" ht="28.8" customHeight="1" x14ac:dyDescent="0.3">
      <c r="A16" s="6">
        <v>46277</v>
      </c>
      <c r="B16" s="7" t="s">
        <v>68</v>
      </c>
      <c r="C16" s="8"/>
      <c r="D16" s="8"/>
      <c r="E16" s="9" t="str">
        <f t="shared" si="0"/>
        <v/>
      </c>
      <c r="F16" s="9">
        <v>5.8999999999999999E-3</v>
      </c>
      <c r="G16" s="7" t="s">
        <v>45</v>
      </c>
      <c r="H16" s="9"/>
      <c r="I16" s="9"/>
      <c r="J16" s="7" t="s">
        <v>50</v>
      </c>
      <c r="K16" s="2" t="s">
        <v>69</v>
      </c>
      <c r="L16" s="2" t="s">
        <v>70</v>
      </c>
    </row>
    <row r="17" spans="1:12" ht="28.8" customHeight="1" x14ac:dyDescent="0.3">
      <c r="A17" s="6">
        <v>46278</v>
      </c>
      <c r="B17" s="7" t="s">
        <v>71</v>
      </c>
      <c r="C17" s="8"/>
      <c r="D17" s="8"/>
      <c r="E17" s="9" t="str">
        <f t="shared" si="0"/>
        <v/>
      </c>
      <c r="F17" s="9">
        <v>5.8999999999999999E-3</v>
      </c>
      <c r="G17" s="7" t="s">
        <v>45</v>
      </c>
      <c r="H17" s="9"/>
      <c r="I17" s="9"/>
      <c r="J17" s="7" t="s">
        <v>50</v>
      </c>
      <c r="K17" s="2" t="s">
        <v>69</v>
      </c>
      <c r="L17" s="2" t="s">
        <v>70</v>
      </c>
    </row>
    <row r="18" spans="1:12" ht="28.8" customHeight="1" x14ac:dyDescent="0.3">
      <c r="A18" s="6">
        <v>46279</v>
      </c>
      <c r="B18" s="7" t="s">
        <v>62</v>
      </c>
      <c r="C18" s="8"/>
      <c r="D18" s="8"/>
      <c r="E18" s="9" t="str">
        <f t="shared" si="0"/>
        <v/>
      </c>
      <c r="F18" s="9">
        <v>5.8999999999999999E-3</v>
      </c>
      <c r="G18" s="7" t="s">
        <v>45</v>
      </c>
      <c r="H18" s="9"/>
      <c r="I18" s="9"/>
      <c r="J18" s="7" t="s">
        <v>50</v>
      </c>
      <c r="K18" s="2" t="s">
        <v>69</v>
      </c>
      <c r="L18" s="2" t="s">
        <v>70</v>
      </c>
    </row>
    <row r="19" spans="1:12" x14ac:dyDescent="0.3">
      <c r="A19" s="6">
        <v>46280</v>
      </c>
      <c r="B19" s="7" t="s">
        <v>64</v>
      </c>
      <c r="C19" s="8">
        <v>126.05</v>
      </c>
      <c r="D19" s="8">
        <v>125.7118</v>
      </c>
      <c r="E19" s="9">
        <f t="shared" si="0"/>
        <v>2.6902804669093339E-3</v>
      </c>
      <c r="F19" s="9">
        <v>5.8999999999999999E-3</v>
      </c>
      <c r="G19" s="7" t="s">
        <v>45</v>
      </c>
      <c r="H19" s="9"/>
      <c r="I19" s="9"/>
      <c r="J19" s="7" t="s">
        <v>50</v>
      </c>
      <c r="K19" s="2" t="s">
        <v>63</v>
      </c>
      <c r="L19" s="2" t="s">
        <v>63</v>
      </c>
    </row>
    <row r="20" spans="1:12" x14ac:dyDescent="0.3">
      <c r="A20" s="6">
        <v>46281</v>
      </c>
      <c r="B20" s="7" t="s">
        <v>65</v>
      </c>
      <c r="C20" s="8">
        <v>127.15</v>
      </c>
      <c r="D20" s="8">
        <v>127.1966</v>
      </c>
      <c r="E20" s="9">
        <f t="shared" si="0"/>
        <v>-3.6636199395267965E-4</v>
      </c>
      <c r="F20" s="9">
        <v>5.8999999999999999E-3</v>
      </c>
      <c r="G20" s="7" t="s">
        <v>45</v>
      </c>
      <c r="H20" s="9"/>
      <c r="I20" s="9"/>
      <c r="J20" s="7" t="s">
        <v>50</v>
      </c>
      <c r="K20" s="2" t="s">
        <v>63</v>
      </c>
      <c r="L20" s="2" t="s">
        <v>63</v>
      </c>
    </row>
    <row r="21" spans="1:12" x14ac:dyDescent="0.3">
      <c r="A21" s="6">
        <v>46282</v>
      </c>
      <c r="B21" s="7" t="s">
        <v>66</v>
      </c>
      <c r="C21" s="8">
        <v>126.85</v>
      </c>
      <c r="D21" s="8">
        <v>126.55329999999999</v>
      </c>
      <c r="E21" s="9">
        <f t="shared" si="0"/>
        <v>2.3444667187659807E-3</v>
      </c>
      <c r="F21" s="9">
        <v>5.8999999999999999E-3</v>
      </c>
      <c r="G21" s="7" t="s">
        <v>45</v>
      </c>
      <c r="H21" s="9"/>
      <c r="I21" s="9"/>
      <c r="J21" s="7" t="s">
        <v>50</v>
      </c>
      <c r="K21" s="2" t="s">
        <v>63</v>
      </c>
      <c r="L21" s="2" t="s">
        <v>63</v>
      </c>
    </row>
    <row r="22" spans="1:12" x14ac:dyDescent="0.3">
      <c r="A22" s="6">
        <v>46283</v>
      </c>
      <c r="B22" s="7" t="s">
        <v>67</v>
      </c>
      <c r="C22" s="8">
        <v>128.6</v>
      </c>
      <c r="D22" s="8">
        <v>128.21520000000001</v>
      </c>
      <c r="E22" s="9">
        <f t="shared" si="0"/>
        <v>3.0012042253959592E-3</v>
      </c>
      <c r="F22" s="9">
        <v>5.8999999999999999E-3</v>
      </c>
      <c r="G22" s="7" t="s">
        <v>45</v>
      </c>
      <c r="H22" s="9"/>
      <c r="I22" s="9"/>
      <c r="J22" s="7" t="s">
        <v>50</v>
      </c>
      <c r="K22" s="2" t="s">
        <v>63</v>
      </c>
      <c r="L22" s="2" t="s">
        <v>63</v>
      </c>
    </row>
    <row r="23" spans="1:12" ht="28.8" customHeight="1" x14ac:dyDescent="0.3">
      <c r="A23" s="6">
        <v>46284</v>
      </c>
      <c r="B23" s="7" t="s">
        <v>68</v>
      </c>
      <c r="C23" s="8"/>
      <c r="D23" s="8"/>
      <c r="E23" s="9" t="str">
        <f t="shared" si="0"/>
        <v/>
      </c>
      <c r="F23" s="9">
        <v>5.8999999999999999E-3</v>
      </c>
      <c r="G23" s="7" t="s">
        <v>45</v>
      </c>
      <c r="H23" s="9"/>
      <c r="I23" s="9"/>
      <c r="J23" s="7" t="s">
        <v>50</v>
      </c>
      <c r="K23" s="2" t="s">
        <v>69</v>
      </c>
      <c r="L23" s="2" t="s">
        <v>70</v>
      </c>
    </row>
    <row r="24" spans="1:12" ht="28.8" customHeight="1" x14ac:dyDescent="0.3">
      <c r="A24" s="6">
        <v>46285</v>
      </c>
      <c r="B24" s="7" t="s">
        <v>71</v>
      </c>
      <c r="C24" s="8"/>
      <c r="D24" s="8"/>
      <c r="E24" s="9" t="str">
        <f t="shared" si="0"/>
        <v/>
      </c>
      <c r="F24" s="9">
        <v>5.8999999999999999E-3</v>
      </c>
      <c r="G24" s="7" t="s">
        <v>45</v>
      </c>
      <c r="H24" s="9"/>
      <c r="I24" s="9"/>
      <c r="J24" s="7" t="s">
        <v>50</v>
      </c>
      <c r="K24" s="2" t="s">
        <v>69</v>
      </c>
      <c r="L24" s="2" t="s">
        <v>70</v>
      </c>
    </row>
    <row r="25" spans="1:12" ht="28.8" customHeight="1" x14ac:dyDescent="0.3">
      <c r="A25" s="6">
        <v>46286</v>
      </c>
      <c r="B25" s="7" t="s">
        <v>62</v>
      </c>
      <c r="C25" s="8"/>
      <c r="D25" s="8"/>
      <c r="E25" s="9" t="str">
        <f t="shared" si="0"/>
        <v/>
      </c>
      <c r="F25" s="9">
        <v>5.8999999999999999E-3</v>
      </c>
      <c r="G25" s="7" t="s">
        <v>45</v>
      </c>
      <c r="H25" s="9"/>
      <c r="I25" s="9"/>
      <c r="J25" s="7" t="s">
        <v>50</v>
      </c>
      <c r="K25" s="2" t="s">
        <v>69</v>
      </c>
      <c r="L25" s="2" t="s">
        <v>70</v>
      </c>
    </row>
    <row r="28" spans="1:12" x14ac:dyDescent="0.3">
      <c r="A28" s="31" t="s">
        <v>72</v>
      </c>
      <c r="B28" s="22"/>
    </row>
    <row r="29" spans="1:12" ht="144" customHeight="1" x14ac:dyDescent="0.3">
      <c r="A29" s="1" t="s">
        <v>73</v>
      </c>
      <c r="B29" s="10" t="s">
        <v>74</v>
      </c>
    </row>
    <row r="30" spans="1:12" ht="57.6" customHeight="1" x14ac:dyDescent="0.3">
      <c r="A30" s="1" t="s">
        <v>75</v>
      </c>
      <c r="B30" s="10" t="s">
        <v>76</v>
      </c>
    </row>
    <row r="31" spans="1:12" ht="72" customHeight="1" x14ac:dyDescent="0.3">
      <c r="A31" s="1" t="s">
        <v>77</v>
      </c>
      <c r="B31" s="10" t="s">
        <v>78</v>
      </c>
    </row>
    <row r="32" spans="1:12" ht="43.2" customHeight="1" x14ac:dyDescent="0.3">
      <c r="A32" s="1" t="s">
        <v>79</v>
      </c>
      <c r="B32" s="10" t="s">
        <v>80</v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2"/>
  <sheetViews>
    <sheetView workbookViewId="0">
      <pane ySplit="10" topLeftCell="A11" activePane="bottomLeft" state="frozen"/>
      <selection pane="bottomLeft" sqref="A1:L1"/>
    </sheetView>
  </sheetViews>
  <sheetFormatPr defaultRowHeight="14.4" x14ac:dyDescent="0.3"/>
  <cols>
    <col min="1" max="1" width="15" customWidth="1"/>
    <col min="2" max="3" width="18" customWidth="1"/>
    <col min="4" max="4" width="14" customWidth="1"/>
    <col min="5" max="5" width="28" customWidth="1"/>
    <col min="6" max="6" width="17" customWidth="1"/>
    <col min="7" max="7" width="15" customWidth="1"/>
    <col min="8" max="9" width="20" customWidth="1"/>
    <col min="10" max="10" width="18" customWidth="1"/>
    <col min="11" max="12" width="30" customWidth="1"/>
  </cols>
  <sheetData>
    <row r="1" spans="1:12" ht="24" customHeight="1" x14ac:dyDescent="0.35">
      <c r="A1" s="30" t="s">
        <v>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37</v>
      </c>
      <c r="B3" s="3" t="s">
        <v>82</v>
      </c>
      <c r="D3" s="1" t="s">
        <v>39</v>
      </c>
      <c r="E3" s="28" t="s">
        <v>83</v>
      </c>
      <c r="F3" s="22"/>
      <c r="G3" s="22"/>
      <c r="H3" s="22"/>
      <c r="I3" s="22"/>
      <c r="J3" s="22"/>
      <c r="K3" s="22"/>
      <c r="L3" s="22"/>
    </row>
    <row r="4" spans="1:12" x14ac:dyDescent="0.3">
      <c r="A4" s="1" t="s">
        <v>41</v>
      </c>
      <c r="B4" s="3" t="s">
        <v>84</v>
      </c>
      <c r="E4" s="22"/>
      <c r="F4" s="22"/>
      <c r="G4" s="22"/>
      <c r="H4" s="22"/>
      <c r="I4" s="22"/>
      <c r="J4" s="22"/>
      <c r="K4" s="22"/>
      <c r="L4" s="22"/>
    </row>
    <row r="5" spans="1:12" x14ac:dyDescent="0.3">
      <c r="A5" s="1" t="s">
        <v>43</v>
      </c>
      <c r="B5" s="4">
        <v>6.0000000000000001E-3</v>
      </c>
      <c r="E5" s="22"/>
      <c r="F5" s="22"/>
      <c r="G5" s="22"/>
      <c r="H5" s="22"/>
      <c r="I5" s="22"/>
      <c r="J5" s="22"/>
      <c r="K5" s="22"/>
      <c r="L5" s="22"/>
    </row>
    <row r="6" spans="1:12" x14ac:dyDescent="0.3">
      <c r="A6" s="1" t="s">
        <v>44</v>
      </c>
      <c r="B6" s="3" t="s">
        <v>85</v>
      </c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1" t="s">
        <v>46</v>
      </c>
      <c r="B7" s="4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1" t="s">
        <v>47</v>
      </c>
      <c r="B8" s="4"/>
      <c r="E8" s="29"/>
      <c r="F8" s="29"/>
      <c r="G8" s="29"/>
      <c r="H8" s="29"/>
      <c r="I8" s="29"/>
      <c r="J8" s="29"/>
      <c r="K8" s="29"/>
      <c r="L8" s="29"/>
    </row>
    <row r="9" spans="1:12" x14ac:dyDescent="0.3">
      <c r="A9" s="1" t="s">
        <v>49</v>
      </c>
      <c r="B9" s="3" t="s">
        <v>50</v>
      </c>
    </row>
    <row r="10" spans="1:12" ht="42" customHeight="1" x14ac:dyDescent="0.3">
      <c r="A10" s="5" t="s">
        <v>24</v>
      </c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 t="s">
        <v>57</v>
      </c>
      <c r="I10" s="5" t="s">
        <v>58</v>
      </c>
      <c r="J10" s="5" t="s">
        <v>59</v>
      </c>
      <c r="K10" s="5" t="s">
        <v>60</v>
      </c>
      <c r="L10" s="5" t="s">
        <v>61</v>
      </c>
    </row>
    <row r="11" spans="1:12" x14ac:dyDescent="0.3">
      <c r="A11" s="6">
        <v>46272</v>
      </c>
      <c r="B11" s="7" t="s">
        <v>62</v>
      </c>
      <c r="C11" s="8">
        <v>129.88</v>
      </c>
      <c r="D11" s="8">
        <v>129.25989999999999</v>
      </c>
      <c r="E11" s="9">
        <f t="shared" ref="E11:E25" si="0">IFERROR(C11/D11-1,"")</f>
        <v>4.7973114631838509E-3</v>
      </c>
      <c r="F11" s="9">
        <v>6.0000000000000001E-3</v>
      </c>
      <c r="G11" s="7" t="s">
        <v>85</v>
      </c>
      <c r="H11" s="9"/>
      <c r="I11" s="9"/>
      <c r="J11" s="7" t="s">
        <v>50</v>
      </c>
      <c r="K11" s="2" t="s">
        <v>63</v>
      </c>
      <c r="L11" s="2" t="s">
        <v>63</v>
      </c>
    </row>
    <row r="12" spans="1:12" x14ac:dyDescent="0.3">
      <c r="A12" s="6">
        <v>46273</v>
      </c>
      <c r="B12" s="7" t="s">
        <v>64</v>
      </c>
      <c r="C12" s="8">
        <v>130.18</v>
      </c>
      <c r="D12" s="8">
        <v>129.59030000000001</v>
      </c>
      <c r="E12" s="9">
        <f t="shared" si="0"/>
        <v>4.5504949058687849E-3</v>
      </c>
      <c r="F12" s="9">
        <v>6.0000000000000001E-3</v>
      </c>
      <c r="G12" s="7" t="s">
        <v>85</v>
      </c>
      <c r="H12" s="9"/>
      <c r="I12" s="9"/>
      <c r="J12" s="7" t="s">
        <v>50</v>
      </c>
      <c r="K12" s="2" t="s">
        <v>63</v>
      </c>
      <c r="L12" s="2" t="s">
        <v>63</v>
      </c>
    </row>
    <row r="13" spans="1:12" x14ac:dyDescent="0.3">
      <c r="A13" s="6">
        <v>46274</v>
      </c>
      <c r="B13" s="7" t="s">
        <v>65</v>
      </c>
      <c r="C13" s="8">
        <v>130.06</v>
      </c>
      <c r="D13" s="8">
        <v>129.8203</v>
      </c>
      <c r="E13" s="9">
        <f t="shared" si="0"/>
        <v>1.8463984446193127E-3</v>
      </c>
      <c r="F13" s="9">
        <v>6.0000000000000001E-3</v>
      </c>
      <c r="G13" s="7" t="s">
        <v>85</v>
      </c>
      <c r="H13" s="9"/>
      <c r="I13" s="9"/>
      <c r="J13" s="7" t="s">
        <v>50</v>
      </c>
      <c r="K13" s="2" t="s">
        <v>63</v>
      </c>
      <c r="L13" s="2" t="s">
        <v>63</v>
      </c>
    </row>
    <row r="14" spans="1:12" x14ac:dyDescent="0.3">
      <c r="A14" s="6">
        <v>46275</v>
      </c>
      <c r="B14" s="7" t="s">
        <v>66</v>
      </c>
      <c r="C14" s="8">
        <v>130.49</v>
      </c>
      <c r="D14" s="8">
        <v>129.81569999999999</v>
      </c>
      <c r="E14" s="9">
        <f t="shared" si="0"/>
        <v>5.1942869776153699E-3</v>
      </c>
      <c r="F14" s="9">
        <v>6.0000000000000001E-3</v>
      </c>
      <c r="G14" s="7" t="s">
        <v>85</v>
      </c>
      <c r="H14" s="9"/>
      <c r="I14" s="9"/>
      <c r="J14" s="7" t="s">
        <v>50</v>
      </c>
      <c r="K14" s="2" t="s">
        <v>63</v>
      </c>
      <c r="L14" s="2" t="s">
        <v>63</v>
      </c>
    </row>
    <row r="15" spans="1:12" x14ac:dyDescent="0.3">
      <c r="A15" s="6">
        <v>46276</v>
      </c>
      <c r="B15" s="7" t="s">
        <v>67</v>
      </c>
      <c r="C15" s="8">
        <v>129.37</v>
      </c>
      <c r="D15" s="8">
        <v>128.79830000000001</v>
      </c>
      <c r="E15" s="9">
        <f t="shared" si="0"/>
        <v>4.4387231819051909E-3</v>
      </c>
      <c r="F15" s="9">
        <v>6.0000000000000001E-3</v>
      </c>
      <c r="G15" s="7" t="s">
        <v>85</v>
      </c>
      <c r="H15" s="9"/>
      <c r="I15" s="9"/>
      <c r="J15" s="7" t="s">
        <v>50</v>
      </c>
      <c r="K15" s="2" t="s">
        <v>63</v>
      </c>
      <c r="L15" s="2" t="s">
        <v>63</v>
      </c>
    </row>
    <row r="16" spans="1:12" x14ac:dyDescent="0.3">
      <c r="A16" s="6">
        <v>46277</v>
      </c>
      <c r="B16" s="7" t="s">
        <v>68</v>
      </c>
      <c r="C16" s="8"/>
      <c r="D16" s="8"/>
      <c r="E16" s="9" t="str">
        <f t="shared" si="0"/>
        <v/>
      </c>
      <c r="F16" s="9">
        <v>6.0000000000000001E-3</v>
      </c>
      <c r="G16" s="7" t="s">
        <v>85</v>
      </c>
      <c r="H16" s="9"/>
      <c r="I16" s="9"/>
      <c r="J16" s="7" t="s">
        <v>50</v>
      </c>
      <c r="K16" s="2" t="s">
        <v>69</v>
      </c>
      <c r="L16" s="2" t="s">
        <v>86</v>
      </c>
    </row>
    <row r="17" spans="1:12" x14ac:dyDescent="0.3">
      <c r="A17" s="6">
        <v>46278</v>
      </c>
      <c r="B17" s="7" t="s">
        <v>71</v>
      </c>
      <c r="C17" s="8"/>
      <c r="D17" s="8"/>
      <c r="E17" s="9" t="str">
        <f t="shared" si="0"/>
        <v/>
      </c>
      <c r="F17" s="9">
        <v>6.0000000000000001E-3</v>
      </c>
      <c r="G17" s="7" t="s">
        <v>85</v>
      </c>
      <c r="H17" s="9"/>
      <c r="I17" s="9"/>
      <c r="J17" s="7" t="s">
        <v>50</v>
      </c>
      <c r="K17" s="2" t="s">
        <v>69</v>
      </c>
      <c r="L17" s="2" t="s">
        <v>86</v>
      </c>
    </row>
    <row r="18" spans="1:12" x14ac:dyDescent="0.3">
      <c r="A18" s="6">
        <v>46279</v>
      </c>
      <c r="B18" s="7" t="s">
        <v>62</v>
      </c>
      <c r="C18" s="8"/>
      <c r="D18" s="8"/>
      <c r="E18" s="9" t="str">
        <f t="shared" si="0"/>
        <v/>
      </c>
      <c r="F18" s="9">
        <v>6.0000000000000001E-3</v>
      </c>
      <c r="G18" s="7" t="s">
        <v>85</v>
      </c>
      <c r="H18" s="9"/>
      <c r="I18" s="9"/>
      <c r="J18" s="7" t="s">
        <v>50</v>
      </c>
      <c r="K18" s="2" t="s">
        <v>69</v>
      </c>
      <c r="L18" s="2" t="s">
        <v>86</v>
      </c>
    </row>
    <row r="19" spans="1:12" x14ac:dyDescent="0.3">
      <c r="A19" s="6">
        <v>46280</v>
      </c>
      <c r="B19" s="7" t="s">
        <v>64</v>
      </c>
      <c r="C19" s="8">
        <v>127.88</v>
      </c>
      <c r="D19" s="8">
        <v>127.6122</v>
      </c>
      <c r="E19" s="9">
        <f t="shared" si="0"/>
        <v>2.098545436878263E-3</v>
      </c>
      <c r="F19" s="9">
        <v>6.0000000000000001E-3</v>
      </c>
      <c r="G19" s="7" t="s">
        <v>85</v>
      </c>
      <c r="H19" s="9"/>
      <c r="I19" s="9"/>
      <c r="J19" s="7" t="s">
        <v>50</v>
      </c>
      <c r="K19" s="2" t="s">
        <v>63</v>
      </c>
      <c r="L19" s="2" t="s">
        <v>63</v>
      </c>
    </row>
    <row r="20" spans="1:12" x14ac:dyDescent="0.3">
      <c r="A20" s="6">
        <v>46281</v>
      </c>
      <c r="B20" s="7" t="s">
        <v>65</v>
      </c>
      <c r="C20" s="8">
        <v>129.11000000000001</v>
      </c>
      <c r="D20" s="8">
        <v>129.11539999999999</v>
      </c>
      <c r="E20" s="9">
        <f t="shared" si="0"/>
        <v>-4.1823051316725035E-5</v>
      </c>
      <c r="F20" s="9">
        <v>6.0000000000000001E-3</v>
      </c>
      <c r="G20" s="7" t="s">
        <v>85</v>
      </c>
      <c r="H20" s="9"/>
      <c r="I20" s="9"/>
      <c r="J20" s="7" t="s">
        <v>50</v>
      </c>
      <c r="K20" s="2" t="s">
        <v>63</v>
      </c>
      <c r="L20" s="2" t="s">
        <v>63</v>
      </c>
    </row>
    <row r="21" spans="1:12" x14ac:dyDescent="0.3">
      <c r="A21" s="6">
        <v>46282</v>
      </c>
      <c r="B21" s="7" t="s">
        <v>66</v>
      </c>
      <c r="C21" s="8">
        <v>128.68</v>
      </c>
      <c r="D21" s="8">
        <v>128.4641</v>
      </c>
      <c r="E21" s="9">
        <f t="shared" si="0"/>
        <v>1.6806251707675024E-3</v>
      </c>
      <c r="F21" s="9">
        <v>6.0000000000000001E-3</v>
      </c>
      <c r="G21" s="7" t="s">
        <v>85</v>
      </c>
      <c r="H21" s="9"/>
      <c r="I21" s="9"/>
      <c r="J21" s="7" t="s">
        <v>50</v>
      </c>
      <c r="K21" s="2" t="s">
        <v>63</v>
      </c>
      <c r="L21" s="2" t="s">
        <v>63</v>
      </c>
    </row>
    <row r="22" spans="1:12" x14ac:dyDescent="0.3">
      <c r="A22" s="6">
        <v>46283</v>
      </c>
      <c r="B22" s="7" t="s">
        <v>67</v>
      </c>
      <c r="C22" s="8">
        <v>130.63999999999999</v>
      </c>
      <c r="D22" s="8">
        <v>130.1465</v>
      </c>
      <c r="E22" s="9">
        <f t="shared" si="0"/>
        <v>3.7918806883010525E-3</v>
      </c>
      <c r="F22" s="9">
        <v>6.0000000000000001E-3</v>
      </c>
      <c r="G22" s="7" t="s">
        <v>85</v>
      </c>
      <c r="H22" s="9"/>
      <c r="I22" s="9"/>
      <c r="J22" s="7" t="s">
        <v>50</v>
      </c>
      <c r="K22" s="2" t="s">
        <v>63</v>
      </c>
      <c r="L22" s="2" t="s">
        <v>63</v>
      </c>
    </row>
    <row r="23" spans="1:12" x14ac:dyDescent="0.3">
      <c r="A23" s="6">
        <v>46284</v>
      </c>
      <c r="B23" s="7" t="s">
        <v>68</v>
      </c>
      <c r="C23" s="8"/>
      <c r="D23" s="8"/>
      <c r="E23" s="9" t="str">
        <f t="shared" si="0"/>
        <v/>
      </c>
      <c r="F23" s="9">
        <v>6.0000000000000001E-3</v>
      </c>
      <c r="G23" s="7" t="s">
        <v>85</v>
      </c>
      <c r="H23" s="9"/>
      <c r="I23" s="9"/>
      <c r="J23" s="7" t="s">
        <v>50</v>
      </c>
      <c r="K23" s="2" t="s">
        <v>69</v>
      </c>
      <c r="L23" s="2" t="s">
        <v>86</v>
      </c>
    </row>
    <row r="24" spans="1:12" x14ac:dyDescent="0.3">
      <c r="A24" s="6">
        <v>46285</v>
      </c>
      <c r="B24" s="7" t="s">
        <v>71</v>
      </c>
      <c r="C24" s="8"/>
      <c r="D24" s="8"/>
      <c r="E24" s="9" t="str">
        <f t="shared" si="0"/>
        <v/>
      </c>
      <c r="F24" s="9">
        <v>6.0000000000000001E-3</v>
      </c>
      <c r="G24" s="7" t="s">
        <v>85</v>
      </c>
      <c r="H24" s="9"/>
      <c r="I24" s="9"/>
      <c r="J24" s="7" t="s">
        <v>50</v>
      </c>
      <c r="K24" s="2" t="s">
        <v>69</v>
      </c>
      <c r="L24" s="2" t="s">
        <v>86</v>
      </c>
    </row>
    <row r="25" spans="1:12" x14ac:dyDescent="0.3">
      <c r="A25" s="6">
        <v>46286</v>
      </c>
      <c r="B25" s="7" t="s">
        <v>62</v>
      </c>
      <c r="C25" s="8"/>
      <c r="D25" s="8"/>
      <c r="E25" s="9" t="str">
        <f t="shared" si="0"/>
        <v/>
      </c>
      <c r="F25" s="9">
        <v>6.0000000000000001E-3</v>
      </c>
      <c r="G25" s="7" t="s">
        <v>85</v>
      </c>
      <c r="H25" s="9"/>
      <c r="I25" s="9"/>
      <c r="J25" s="7" t="s">
        <v>50</v>
      </c>
      <c r="K25" s="2" t="s">
        <v>69</v>
      </c>
      <c r="L25" s="2" t="s">
        <v>86</v>
      </c>
    </row>
    <row r="28" spans="1:12" x14ac:dyDescent="0.3">
      <c r="A28" s="31" t="s">
        <v>72</v>
      </c>
      <c r="B28" s="22"/>
    </row>
    <row r="29" spans="1:12" ht="115.2" customHeight="1" x14ac:dyDescent="0.3">
      <c r="A29" s="1" t="s">
        <v>73</v>
      </c>
      <c r="B29" s="10" t="s">
        <v>87</v>
      </c>
    </row>
    <row r="30" spans="1:12" ht="72" customHeight="1" x14ac:dyDescent="0.3">
      <c r="A30" s="1" t="s">
        <v>75</v>
      </c>
      <c r="B30" s="10" t="s">
        <v>88</v>
      </c>
    </row>
    <row r="31" spans="1:12" ht="57.6" customHeight="1" x14ac:dyDescent="0.3">
      <c r="A31" s="1" t="s">
        <v>77</v>
      </c>
      <c r="B31" s="10" t="s">
        <v>89</v>
      </c>
    </row>
    <row r="32" spans="1:12" ht="43.2" customHeight="1" x14ac:dyDescent="0.3">
      <c r="A32" s="1" t="s">
        <v>79</v>
      </c>
      <c r="B32" s="10" t="s">
        <v>90</v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workbookViewId="0">
      <pane ySplit="10" topLeftCell="A11" activePane="bottomLeft" state="frozen"/>
      <selection pane="bottomLeft" sqref="A1:L1"/>
    </sheetView>
  </sheetViews>
  <sheetFormatPr defaultRowHeight="14.4" x14ac:dyDescent="0.3"/>
  <cols>
    <col min="1" max="1" width="15" customWidth="1"/>
    <col min="2" max="3" width="18" customWidth="1"/>
    <col min="4" max="4" width="14" customWidth="1"/>
    <col min="5" max="5" width="28" customWidth="1"/>
    <col min="6" max="6" width="17" customWidth="1"/>
    <col min="7" max="7" width="15" customWidth="1"/>
    <col min="8" max="9" width="20" customWidth="1"/>
    <col min="10" max="10" width="18" customWidth="1"/>
    <col min="11" max="12" width="30" customWidth="1"/>
  </cols>
  <sheetData>
    <row r="1" spans="1:12" ht="24" customHeight="1" x14ac:dyDescent="0.35">
      <c r="A1" s="30" t="s">
        <v>91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37</v>
      </c>
      <c r="B3" s="3" t="s">
        <v>92</v>
      </c>
      <c r="D3" s="1" t="s">
        <v>39</v>
      </c>
      <c r="E3" s="28" t="s">
        <v>93</v>
      </c>
      <c r="F3" s="22"/>
      <c r="G3" s="22"/>
      <c r="H3" s="22"/>
      <c r="I3" s="22"/>
      <c r="J3" s="22"/>
      <c r="K3" s="22"/>
      <c r="L3" s="22"/>
    </row>
    <row r="4" spans="1:12" x14ac:dyDescent="0.3">
      <c r="A4" s="1" t="s">
        <v>41</v>
      </c>
      <c r="B4" s="3" t="s">
        <v>94</v>
      </c>
      <c r="E4" s="22"/>
      <c r="F4" s="22"/>
      <c r="G4" s="22"/>
      <c r="H4" s="22"/>
      <c r="I4" s="22"/>
      <c r="J4" s="22"/>
      <c r="K4" s="22"/>
      <c r="L4" s="22"/>
    </row>
    <row r="5" spans="1:12" x14ac:dyDescent="0.3">
      <c r="A5" s="1" t="s">
        <v>43</v>
      </c>
      <c r="B5" s="4">
        <v>4.1999999999999997E-3</v>
      </c>
      <c r="E5" s="22"/>
      <c r="F5" s="22"/>
      <c r="G5" s="22"/>
      <c r="H5" s="22"/>
      <c r="I5" s="22"/>
      <c r="J5" s="22"/>
      <c r="K5" s="22"/>
      <c r="L5" s="22"/>
    </row>
    <row r="6" spans="1:12" x14ac:dyDescent="0.3">
      <c r="A6" s="1" t="s">
        <v>44</v>
      </c>
      <c r="B6" s="3" t="s">
        <v>95</v>
      </c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1" t="s">
        <v>46</v>
      </c>
      <c r="B7" s="4">
        <v>-1.6500000000000001E-2</v>
      </c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1" t="s">
        <v>47</v>
      </c>
      <c r="B8" s="4">
        <v>-1.37E-2</v>
      </c>
      <c r="E8" s="29"/>
      <c r="F8" s="29"/>
      <c r="G8" s="29"/>
      <c r="H8" s="29"/>
      <c r="I8" s="29"/>
      <c r="J8" s="29"/>
      <c r="K8" s="29"/>
      <c r="L8" s="29"/>
    </row>
    <row r="9" spans="1:12" x14ac:dyDescent="0.3">
      <c r="A9" s="1" t="s">
        <v>49</v>
      </c>
      <c r="B9" s="3" t="s">
        <v>95</v>
      </c>
    </row>
    <row r="10" spans="1:12" ht="42" customHeight="1" x14ac:dyDescent="0.3">
      <c r="A10" s="5" t="s">
        <v>24</v>
      </c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 t="s">
        <v>57</v>
      </c>
      <c r="I10" s="5" t="s">
        <v>58</v>
      </c>
      <c r="J10" s="5" t="s">
        <v>59</v>
      </c>
      <c r="K10" s="5" t="s">
        <v>60</v>
      </c>
      <c r="L10" s="5" t="s">
        <v>61</v>
      </c>
    </row>
    <row r="11" spans="1:12" x14ac:dyDescent="0.3">
      <c r="A11" s="6">
        <v>46272</v>
      </c>
      <c r="B11" s="7" t="s">
        <v>62</v>
      </c>
      <c r="C11" s="8">
        <v>130.01</v>
      </c>
      <c r="D11" s="8">
        <v>129.5659</v>
      </c>
      <c r="E11" s="9">
        <f t="shared" ref="E11:E25" si="0">IFERROR(C11/D11-1,"")</f>
        <v>3.4275993915064973E-3</v>
      </c>
      <c r="F11" s="9">
        <v>4.1999999999999997E-3</v>
      </c>
      <c r="G11" s="7" t="s">
        <v>95</v>
      </c>
      <c r="H11" s="9">
        <v>-1.6500000000000001E-2</v>
      </c>
      <c r="I11" s="9">
        <v>-1.37E-2</v>
      </c>
      <c r="J11" s="7" t="s">
        <v>95</v>
      </c>
      <c r="K11" s="2" t="s">
        <v>63</v>
      </c>
      <c r="L11" s="2" t="s">
        <v>63</v>
      </c>
    </row>
    <row r="12" spans="1:12" x14ac:dyDescent="0.3">
      <c r="A12" s="6">
        <v>46273</v>
      </c>
      <c r="B12" s="7" t="s">
        <v>64</v>
      </c>
      <c r="C12" s="8">
        <v>130.38</v>
      </c>
      <c r="D12" s="8">
        <v>129.89619999999999</v>
      </c>
      <c r="E12" s="9">
        <f t="shared" si="0"/>
        <v>3.724512341392705E-3</v>
      </c>
      <c r="F12" s="9">
        <v>4.1999999999999997E-3</v>
      </c>
      <c r="G12" s="7" t="s">
        <v>95</v>
      </c>
      <c r="H12" s="9">
        <v>-1.6500000000000001E-2</v>
      </c>
      <c r="I12" s="9">
        <v>-1.37E-2</v>
      </c>
      <c r="J12" s="7" t="s">
        <v>95</v>
      </c>
      <c r="K12" s="2" t="s">
        <v>63</v>
      </c>
      <c r="L12" s="2" t="s">
        <v>63</v>
      </c>
    </row>
    <row r="13" spans="1:12" x14ac:dyDescent="0.3">
      <c r="A13" s="6">
        <v>46274</v>
      </c>
      <c r="B13" s="7" t="s">
        <v>65</v>
      </c>
      <c r="C13" s="8">
        <v>130.37</v>
      </c>
      <c r="D13" s="8">
        <v>130.12610000000001</v>
      </c>
      <c r="E13" s="9">
        <f t="shared" si="0"/>
        <v>1.8743357404855665E-3</v>
      </c>
      <c r="F13" s="9">
        <v>4.1999999999999997E-3</v>
      </c>
      <c r="G13" s="7" t="s">
        <v>95</v>
      </c>
      <c r="H13" s="9">
        <v>-1.6500000000000001E-2</v>
      </c>
      <c r="I13" s="9">
        <v>-1.37E-2</v>
      </c>
      <c r="J13" s="7" t="s">
        <v>95</v>
      </c>
      <c r="K13" s="2" t="s">
        <v>63</v>
      </c>
      <c r="L13" s="2" t="s">
        <v>63</v>
      </c>
    </row>
    <row r="14" spans="1:12" x14ac:dyDescent="0.3">
      <c r="A14" s="6">
        <v>46275</v>
      </c>
      <c r="B14" s="7" t="s">
        <v>66</v>
      </c>
      <c r="C14" s="8">
        <v>130.75</v>
      </c>
      <c r="D14" s="8">
        <v>130.12190000000001</v>
      </c>
      <c r="E14" s="9">
        <f t="shared" si="0"/>
        <v>4.8270122093205803E-3</v>
      </c>
      <c r="F14" s="9">
        <v>4.1999999999999997E-3</v>
      </c>
      <c r="G14" s="7" t="s">
        <v>95</v>
      </c>
      <c r="H14" s="9">
        <v>-1.6500000000000001E-2</v>
      </c>
      <c r="I14" s="9">
        <v>-1.37E-2</v>
      </c>
      <c r="J14" s="7" t="s">
        <v>95</v>
      </c>
      <c r="K14" s="2" t="s">
        <v>63</v>
      </c>
      <c r="L14" s="2" t="s">
        <v>63</v>
      </c>
    </row>
    <row r="15" spans="1:12" x14ac:dyDescent="0.3">
      <c r="A15" s="6">
        <v>46276</v>
      </c>
      <c r="B15" s="7" t="s">
        <v>67</v>
      </c>
      <c r="C15" s="8">
        <v>129.63</v>
      </c>
      <c r="D15" s="8">
        <v>129.10650000000001</v>
      </c>
      <c r="E15" s="9">
        <f t="shared" si="0"/>
        <v>4.0547919740678839E-3</v>
      </c>
      <c r="F15" s="9">
        <v>4.1999999999999997E-3</v>
      </c>
      <c r="G15" s="7" t="s">
        <v>95</v>
      </c>
      <c r="H15" s="9">
        <v>-1.6500000000000001E-2</v>
      </c>
      <c r="I15" s="9">
        <v>-1.37E-2</v>
      </c>
      <c r="J15" s="7" t="s">
        <v>95</v>
      </c>
      <c r="K15" s="2" t="s">
        <v>63</v>
      </c>
      <c r="L15" s="2" t="s">
        <v>63</v>
      </c>
    </row>
    <row r="16" spans="1:12" x14ac:dyDescent="0.3">
      <c r="A16" s="6">
        <v>46277</v>
      </c>
      <c r="B16" s="7" t="s">
        <v>68</v>
      </c>
      <c r="C16" s="8"/>
      <c r="D16" s="8"/>
      <c r="E16" s="9" t="str">
        <f t="shared" si="0"/>
        <v/>
      </c>
      <c r="F16" s="9">
        <v>4.1999999999999997E-3</v>
      </c>
      <c r="G16" s="7" t="s">
        <v>95</v>
      </c>
      <c r="H16" s="9">
        <v>-1.6500000000000001E-2</v>
      </c>
      <c r="I16" s="9">
        <v>-1.37E-2</v>
      </c>
      <c r="J16" s="7" t="s">
        <v>95</v>
      </c>
      <c r="K16" s="2" t="s">
        <v>69</v>
      </c>
      <c r="L16" s="2" t="s">
        <v>86</v>
      </c>
    </row>
    <row r="17" spans="1:12" x14ac:dyDescent="0.3">
      <c r="A17" s="6">
        <v>46278</v>
      </c>
      <c r="B17" s="7" t="s">
        <v>71</v>
      </c>
      <c r="C17" s="8"/>
      <c r="D17" s="8"/>
      <c r="E17" s="9" t="str">
        <f t="shared" si="0"/>
        <v/>
      </c>
      <c r="F17" s="9">
        <v>4.1999999999999997E-3</v>
      </c>
      <c r="G17" s="7" t="s">
        <v>95</v>
      </c>
      <c r="H17" s="9">
        <v>-1.6500000000000001E-2</v>
      </c>
      <c r="I17" s="9">
        <v>-1.37E-2</v>
      </c>
      <c r="J17" s="7" t="s">
        <v>95</v>
      </c>
      <c r="K17" s="2" t="s">
        <v>69</v>
      </c>
      <c r="L17" s="2" t="s">
        <v>86</v>
      </c>
    </row>
    <row r="18" spans="1:12" x14ac:dyDescent="0.3">
      <c r="A18" s="6">
        <v>46279</v>
      </c>
      <c r="B18" s="7" t="s">
        <v>62</v>
      </c>
      <c r="C18" s="8"/>
      <c r="D18" s="8"/>
      <c r="E18" s="9" t="str">
        <f t="shared" si="0"/>
        <v/>
      </c>
      <c r="F18" s="9">
        <v>4.1999999999999997E-3</v>
      </c>
      <c r="G18" s="7" t="s">
        <v>95</v>
      </c>
      <c r="H18" s="9">
        <v>-1.6500000000000001E-2</v>
      </c>
      <c r="I18" s="9">
        <v>-1.37E-2</v>
      </c>
      <c r="J18" s="7" t="s">
        <v>95</v>
      </c>
      <c r="K18" s="2" t="s">
        <v>69</v>
      </c>
      <c r="L18" s="2" t="s">
        <v>86</v>
      </c>
    </row>
    <row r="19" spans="1:12" x14ac:dyDescent="0.3">
      <c r="A19" s="6">
        <v>46280</v>
      </c>
      <c r="B19" s="7" t="s">
        <v>64</v>
      </c>
      <c r="C19" s="8">
        <v>127.94</v>
      </c>
      <c r="D19" s="8">
        <v>127.9237</v>
      </c>
      <c r="E19" s="9">
        <f t="shared" si="0"/>
        <v>1.2741970408924885E-4</v>
      </c>
      <c r="F19" s="9">
        <v>4.1999999999999997E-3</v>
      </c>
      <c r="G19" s="7" t="s">
        <v>95</v>
      </c>
      <c r="H19" s="9">
        <v>-1.6500000000000001E-2</v>
      </c>
      <c r="I19" s="9">
        <v>-1.37E-2</v>
      </c>
      <c r="J19" s="7" t="s">
        <v>95</v>
      </c>
      <c r="K19" s="2" t="s">
        <v>63</v>
      </c>
      <c r="L19" s="2" t="s">
        <v>63</v>
      </c>
    </row>
    <row r="20" spans="1:12" x14ac:dyDescent="0.3">
      <c r="A20" s="6">
        <v>46281</v>
      </c>
      <c r="B20" s="7" t="s">
        <v>65</v>
      </c>
      <c r="C20" s="8">
        <v>129.44</v>
      </c>
      <c r="D20" s="8">
        <v>129.4246</v>
      </c>
      <c r="E20" s="9">
        <f t="shared" si="0"/>
        <v>1.1898819853417564E-4</v>
      </c>
      <c r="F20" s="9">
        <v>4.1999999999999997E-3</v>
      </c>
      <c r="G20" s="7" t="s">
        <v>95</v>
      </c>
      <c r="H20" s="9">
        <v>-1.6500000000000001E-2</v>
      </c>
      <c r="I20" s="9">
        <v>-1.37E-2</v>
      </c>
      <c r="J20" s="7" t="s">
        <v>95</v>
      </c>
      <c r="K20" s="2" t="s">
        <v>63</v>
      </c>
      <c r="L20" s="2" t="s">
        <v>63</v>
      </c>
    </row>
    <row r="21" spans="1:12" x14ac:dyDescent="0.3">
      <c r="A21" s="6">
        <v>46282</v>
      </c>
      <c r="B21" s="7" t="s">
        <v>66</v>
      </c>
      <c r="C21" s="8">
        <v>128.97</v>
      </c>
      <c r="D21" s="8">
        <v>128.7747</v>
      </c>
      <c r="E21" s="9">
        <f t="shared" si="0"/>
        <v>1.5166022518398048E-3</v>
      </c>
      <c r="F21" s="9">
        <v>4.1999999999999997E-3</v>
      </c>
      <c r="G21" s="7" t="s">
        <v>95</v>
      </c>
      <c r="H21" s="9">
        <v>-1.6500000000000001E-2</v>
      </c>
      <c r="I21" s="9">
        <v>-1.37E-2</v>
      </c>
      <c r="J21" s="7" t="s">
        <v>95</v>
      </c>
      <c r="K21" s="2" t="s">
        <v>63</v>
      </c>
      <c r="L21" s="2" t="s">
        <v>63</v>
      </c>
    </row>
    <row r="22" spans="1:12" x14ac:dyDescent="0.3">
      <c r="A22" s="6">
        <v>46283</v>
      </c>
      <c r="B22" s="7" t="s">
        <v>67</v>
      </c>
      <c r="C22" s="8">
        <v>131.16</v>
      </c>
      <c r="D22" s="8">
        <v>130.45439999999999</v>
      </c>
      <c r="E22" s="9">
        <f t="shared" si="0"/>
        <v>5.4087865185077355E-3</v>
      </c>
      <c r="F22" s="9">
        <v>4.1999999999999997E-3</v>
      </c>
      <c r="G22" s="7" t="s">
        <v>95</v>
      </c>
      <c r="H22" s="9">
        <v>-1.6500000000000001E-2</v>
      </c>
      <c r="I22" s="9">
        <v>-1.37E-2</v>
      </c>
      <c r="J22" s="7" t="s">
        <v>95</v>
      </c>
      <c r="K22" s="2" t="s">
        <v>63</v>
      </c>
      <c r="L22" s="2" t="s">
        <v>63</v>
      </c>
    </row>
    <row r="23" spans="1:12" x14ac:dyDescent="0.3">
      <c r="A23" s="6">
        <v>46284</v>
      </c>
      <c r="B23" s="7" t="s">
        <v>68</v>
      </c>
      <c r="C23" s="8"/>
      <c r="D23" s="8"/>
      <c r="E23" s="9" t="str">
        <f t="shared" si="0"/>
        <v/>
      </c>
      <c r="F23" s="9">
        <v>4.1999999999999997E-3</v>
      </c>
      <c r="G23" s="7" t="s">
        <v>95</v>
      </c>
      <c r="H23" s="9">
        <v>-1.6500000000000001E-2</v>
      </c>
      <c r="I23" s="9">
        <v>-1.37E-2</v>
      </c>
      <c r="J23" s="7" t="s">
        <v>95</v>
      </c>
      <c r="K23" s="2" t="s">
        <v>69</v>
      </c>
      <c r="L23" s="2" t="s">
        <v>86</v>
      </c>
    </row>
    <row r="24" spans="1:12" x14ac:dyDescent="0.3">
      <c r="A24" s="6">
        <v>46285</v>
      </c>
      <c r="B24" s="7" t="s">
        <v>71</v>
      </c>
      <c r="C24" s="8"/>
      <c r="D24" s="8"/>
      <c r="E24" s="9" t="str">
        <f t="shared" si="0"/>
        <v/>
      </c>
      <c r="F24" s="9">
        <v>4.1999999999999997E-3</v>
      </c>
      <c r="G24" s="7" t="s">
        <v>95</v>
      </c>
      <c r="H24" s="9">
        <v>-1.6500000000000001E-2</v>
      </c>
      <c r="I24" s="9">
        <v>-1.37E-2</v>
      </c>
      <c r="J24" s="7" t="s">
        <v>95</v>
      </c>
      <c r="K24" s="2" t="s">
        <v>69</v>
      </c>
      <c r="L24" s="2" t="s">
        <v>86</v>
      </c>
    </row>
    <row r="25" spans="1:12" x14ac:dyDescent="0.3">
      <c r="A25" s="6">
        <v>46286</v>
      </c>
      <c r="B25" s="7" t="s">
        <v>62</v>
      </c>
      <c r="C25" s="8"/>
      <c r="D25" s="8"/>
      <c r="E25" s="9" t="str">
        <f t="shared" si="0"/>
        <v/>
      </c>
      <c r="F25" s="9">
        <v>4.1999999999999997E-3</v>
      </c>
      <c r="G25" s="7" t="s">
        <v>95</v>
      </c>
      <c r="H25" s="9">
        <v>-1.6500000000000001E-2</v>
      </c>
      <c r="I25" s="9">
        <v>-1.37E-2</v>
      </c>
      <c r="J25" s="7" t="s">
        <v>95</v>
      </c>
      <c r="K25" s="2" t="s">
        <v>69</v>
      </c>
      <c r="L25" s="2" t="s">
        <v>86</v>
      </c>
    </row>
    <row r="28" spans="1:12" x14ac:dyDescent="0.3">
      <c r="A28" s="31" t="s">
        <v>72</v>
      </c>
      <c r="B28" s="22"/>
    </row>
    <row r="29" spans="1:12" ht="115.2" customHeight="1" x14ac:dyDescent="0.3">
      <c r="A29" s="1" t="s">
        <v>73</v>
      </c>
      <c r="B29" s="10" t="s">
        <v>96</v>
      </c>
    </row>
    <row r="30" spans="1:12" ht="72" customHeight="1" x14ac:dyDescent="0.3">
      <c r="A30" s="1" t="s">
        <v>75</v>
      </c>
      <c r="B30" s="10" t="s">
        <v>97</v>
      </c>
    </row>
    <row r="31" spans="1:12" ht="72" customHeight="1" x14ac:dyDescent="0.3">
      <c r="A31" s="1" t="s">
        <v>77</v>
      </c>
      <c r="B31" s="10" t="s">
        <v>97</v>
      </c>
    </row>
    <row r="32" spans="1:12" ht="43.2" customHeight="1" x14ac:dyDescent="0.3">
      <c r="A32" s="1" t="s">
        <v>79</v>
      </c>
      <c r="B32" s="10" t="s">
        <v>98</v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2"/>
  <sheetViews>
    <sheetView workbookViewId="0">
      <pane ySplit="10" topLeftCell="A11" activePane="bottomLeft" state="frozen"/>
      <selection pane="bottomLeft" sqref="A1:L1"/>
    </sheetView>
  </sheetViews>
  <sheetFormatPr defaultRowHeight="14.4" x14ac:dyDescent="0.3"/>
  <cols>
    <col min="1" max="1" width="15" customWidth="1"/>
    <col min="2" max="3" width="18" customWidth="1"/>
    <col min="4" max="4" width="14" customWidth="1"/>
    <col min="5" max="5" width="28" customWidth="1"/>
    <col min="6" max="6" width="17" customWidth="1"/>
    <col min="7" max="7" width="15" customWidth="1"/>
    <col min="8" max="9" width="20" customWidth="1"/>
    <col min="10" max="10" width="18" customWidth="1"/>
    <col min="11" max="12" width="30" customWidth="1"/>
  </cols>
  <sheetData>
    <row r="1" spans="1:12" ht="24" customHeight="1" x14ac:dyDescent="0.35">
      <c r="A1" s="30" t="s">
        <v>99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37</v>
      </c>
      <c r="B3" s="3" t="s">
        <v>100</v>
      </c>
      <c r="D3" s="1" t="s">
        <v>39</v>
      </c>
      <c r="E3" s="28" t="s">
        <v>101</v>
      </c>
      <c r="F3" s="22"/>
      <c r="G3" s="22"/>
      <c r="H3" s="22"/>
      <c r="I3" s="22"/>
      <c r="J3" s="22"/>
      <c r="K3" s="22"/>
      <c r="L3" s="22"/>
    </row>
    <row r="4" spans="1:12" x14ac:dyDescent="0.3">
      <c r="A4" s="1" t="s">
        <v>41</v>
      </c>
      <c r="B4" s="3" t="s">
        <v>102</v>
      </c>
      <c r="E4" s="22"/>
      <c r="F4" s="22"/>
      <c r="G4" s="22"/>
      <c r="H4" s="22"/>
      <c r="I4" s="22"/>
      <c r="J4" s="22"/>
      <c r="K4" s="22"/>
      <c r="L4" s="22"/>
    </row>
    <row r="5" spans="1:12" x14ac:dyDescent="0.3">
      <c r="A5" s="1" t="s">
        <v>43</v>
      </c>
      <c r="B5" s="4">
        <v>3.7000000000000002E-3</v>
      </c>
      <c r="E5" s="22"/>
      <c r="F5" s="22"/>
      <c r="G5" s="22"/>
      <c r="H5" s="22"/>
      <c r="I5" s="22"/>
      <c r="J5" s="22"/>
      <c r="K5" s="22"/>
      <c r="L5" s="22"/>
    </row>
    <row r="6" spans="1:12" x14ac:dyDescent="0.3">
      <c r="A6" s="1" t="s">
        <v>44</v>
      </c>
      <c r="B6" s="3" t="s">
        <v>103</v>
      </c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1" t="s">
        <v>46</v>
      </c>
      <c r="B7" s="4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1" t="s">
        <v>47</v>
      </c>
      <c r="B8" s="4"/>
      <c r="E8" s="29"/>
      <c r="F8" s="29"/>
      <c r="G8" s="29"/>
      <c r="H8" s="29"/>
      <c r="I8" s="29"/>
      <c r="J8" s="29"/>
      <c r="K8" s="29"/>
      <c r="L8" s="29"/>
    </row>
    <row r="9" spans="1:12" x14ac:dyDescent="0.3">
      <c r="A9" s="1" t="s">
        <v>49</v>
      </c>
      <c r="B9" s="3" t="s">
        <v>50</v>
      </c>
    </row>
    <row r="10" spans="1:12" ht="42" customHeight="1" x14ac:dyDescent="0.3">
      <c r="A10" s="5" t="s">
        <v>24</v>
      </c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 t="s">
        <v>57</v>
      </c>
      <c r="I10" s="5" t="s">
        <v>58</v>
      </c>
      <c r="J10" s="5" t="s">
        <v>59</v>
      </c>
      <c r="K10" s="5" t="s">
        <v>60</v>
      </c>
      <c r="L10" s="5" t="s">
        <v>61</v>
      </c>
    </row>
    <row r="11" spans="1:12" x14ac:dyDescent="0.3">
      <c r="A11" s="6">
        <v>46272</v>
      </c>
      <c r="B11" s="7" t="s">
        <v>62</v>
      </c>
      <c r="C11" s="8">
        <v>133.82</v>
      </c>
      <c r="D11" s="8">
        <v>133.0932</v>
      </c>
      <c r="E11" s="9">
        <f t="shared" ref="E11:E25" si="0">IFERROR(C11/D11-1,"")</f>
        <v>5.4608349637697007E-3</v>
      </c>
      <c r="F11" s="9">
        <v>3.7000000000000002E-3</v>
      </c>
      <c r="G11" s="7" t="s">
        <v>103</v>
      </c>
      <c r="H11" s="9"/>
      <c r="I11" s="9"/>
      <c r="J11" s="7" t="s">
        <v>50</v>
      </c>
      <c r="K11" s="2" t="s">
        <v>63</v>
      </c>
      <c r="L11" s="2" t="s">
        <v>63</v>
      </c>
    </row>
    <row r="12" spans="1:12" x14ac:dyDescent="0.3">
      <c r="A12" s="6">
        <v>46273</v>
      </c>
      <c r="B12" s="7" t="s">
        <v>64</v>
      </c>
      <c r="C12" s="8">
        <v>133.97</v>
      </c>
      <c r="D12" s="8">
        <v>133.43340000000001</v>
      </c>
      <c r="E12" s="9">
        <f t="shared" si="0"/>
        <v>4.0214818778505634E-3</v>
      </c>
      <c r="F12" s="9">
        <v>3.7000000000000002E-3</v>
      </c>
      <c r="G12" s="7" t="s">
        <v>103</v>
      </c>
      <c r="H12" s="9"/>
      <c r="I12" s="9"/>
      <c r="J12" s="7" t="s">
        <v>50</v>
      </c>
      <c r="K12" s="2" t="s">
        <v>63</v>
      </c>
      <c r="L12" s="2" t="s">
        <v>63</v>
      </c>
    </row>
    <row r="13" spans="1:12" x14ac:dyDescent="0.3">
      <c r="A13" s="6">
        <v>46274</v>
      </c>
      <c r="B13" s="7" t="s">
        <v>65</v>
      </c>
      <c r="C13" s="8">
        <v>133.97999999999999</v>
      </c>
      <c r="D13" s="8">
        <v>133.6704</v>
      </c>
      <c r="E13" s="9">
        <f t="shared" si="0"/>
        <v>2.316144785980967E-3</v>
      </c>
      <c r="F13" s="9">
        <v>3.7000000000000002E-3</v>
      </c>
      <c r="G13" s="7" t="s">
        <v>103</v>
      </c>
      <c r="H13" s="9"/>
      <c r="I13" s="9"/>
      <c r="J13" s="7" t="s">
        <v>50</v>
      </c>
      <c r="K13" s="2" t="s">
        <v>63</v>
      </c>
      <c r="L13" s="2" t="s">
        <v>63</v>
      </c>
    </row>
    <row r="14" spans="1:12" x14ac:dyDescent="0.3">
      <c r="A14" s="6">
        <v>46275</v>
      </c>
      <c r="B14" s="7" t="s">
        <v>66</v>
      </c>
      <c r="C14" s="8">
        <v>134.33000000000001</v>
      </c>
      <c r="D14" s="8">
        <v>133.6662</v>
      </c>
      <c r="E14" s="9">
        <f t="shared" si="0"/>
        <v>4.9661021260423155E-3</v>
      </c>
      <c r="F14" s="9">
        <v>3.7000000000000002E-3</v>
      </c>
      <c r="G14" s="7" t="s">
        <v>103</v>
      </c>
      <c r="H14" s="9"/>
      <c r="I14" s="9"/>
      <c r="J14" s="7" t="s">
        <v>50</v>
      </c>
      <c r="K14" s="2" t="s">
        <v>63</v>
      </c>
      <c r="L14" s="2" t="s">
        <v>63</v>
      </c>
    </row>
    <row r="15" spans="1:12" x14ac:dyDescent="0.3">
      <c r="A15" s="6">
        <v>46276</v>
      </c>
      <c r="B15" s="7" t="s">
        <v>67</v>
      </c>
      <c r="C15" s="8">
        <v>133.25</v>
      </c>
      <c r="D15" s="8">
        <v>132.62110000000001</v>
      </c>
      <c r="E15" s="9">
        <f t="shared" si="0"/>
        <v>4.7420810112417389E-3</v>
      </c>
      <c r="F15" s="9">
        <v>3.7000000000000002E-3</v>
      </c>
      <c r="G15" s="7" t="s">
        <v>103</v>
      </c>
      <c r="H15" s="9"/>
      <c r="I15" s="9"/>
      <c r="J15" s="7" t="s">
        <v>50</v>
      </c>
      <c r="K15" s="2" t="s">
        <v>63</v>
      </c>
      <c r="L15" s="2" t="s">
        <v>63</v>
      </c>
    </row>
    <row r="16" spans="1:12" x14ac:dyDescent="0.3">
      <c r="A16" s="6">
        <v>46277</v>
      </c>
      <c r="B16" s="7" t="s">
        <v>68</v>
      </c>
      <c r="C16" s="8"/>
      <c r="D16" s="8"/>
      <c r="E16" s="9" t="str">
        <f t="shared" si="0"/>
        <v/>
      </c>
      <c r="F16" s="9">
        <v>3.7000000000000002E-3</v>
      </c>
      <c r="G16" s="7" t="s">
        <v>103</v>
      </c>
      <c r="H16" s="9"/>
      <c r="I16" s="9"/>
      <c r="J16" s="7" t="s">
        <v>50</v>
      </c>
      <c r="K16" s="2" t="s">
        <v>69</v>
      </c>
      <c r="L16" s="2" t="s">
        <v>86</v>
      </c>
    </row>
    <row r="17" spans="1:12" x14ac:dyDescent="0.3">
      <c r="A17" s="6">
        <v>46278</v>
      </c>
      <c r="B17" s="7" t="s">
        <v>71</v>
      </c>
      <c r="C17" s="8"/>
      <c r="D17" s="8"/>
      <c r="E17" s="9" t="str">
        <f t="shared" si="0"/>
        <v/>
      </c>
      <c r="F17" s="9">
        <v>3.7000000000000002E-3</v>
      </c>
      <c r="G17" s="7" t="s">
        <v>103</v>
      </c>
      <c r="H17" s="9"/>
      <c r="I17" s="9"/>
      <c r="J17" s="7" t="s">
        <v>50</v>
      </c>
      <c r="K17" s="2" t="s">
        <v>69</v>
      </c>
      <c r="L17" s="2" t="s">
        <v>86</v>
      </c>
    </row>
    <row r="18" spans="1:12" x14ac:dyDescent="0.3">
      <c r="A18" s="6">
        <v>46279</v>
      </c>
      <c r="B18" s="7" t="s">
        <v>62</v>
      </c>
      <c r="C18" s="8">
        <v>133.25</v>
      </c>
      <c r="D18" s="8"/>
      <c r="E18" s="9" t="str">
        <f t="shared" si="0"/>
        <v/>
      </c>
      <c r="F18" s="9">
        <v>3.7000000000000002E-3</v>
      </c>
      <c r="G18" s="7" t="s">
        <v>103</v>
      </c>
      <c r="H18" s="9"/>
      <c r="I18" s="9"/>
      <c r="J18" s="7" t="s">
        <v>50</v>
      </c>
      <c r="K18" s="2" t="s">
        <v>63</v>
      </c>
      <c r="L18" s="2" t="s">
        <v>86</v>
      </c>
    </row>
    <row r="19" spans="1:12" x14ac:dyDescent="0.3">
      <c r="A19" s="6">
        <v>46280</v>
      </c>
      <c r="B19" s="7" t="s">
        <v>64</v>
      </c>
      <c r="C19" s="8">
        <v>131.88</v>
      </c>
      <c r="D19" s="8">
        <v>131.40459999999999</v>
      </c>
      <c r="E19" s="9">
        <f t="shared" si="0"/>
        <v>3.6178337744645628E-3</v>
      </c>
      <c r="F19" s="9">
        <v>3.7000000000000002E-3</v>
      </c>
      <c r="G19" s="7" t="s">
        <v>103</v>
      </c>
      <c r="H19" s="9"/>
      <c r="I19" s="9"/>
      <c r="J19" s="7" t="s">
        <v>50</v>
      </c>
      <c r="K19" s="2" t="s">
        <v>63</v>
      </c>
      <c r="L19" s="2" t="s">
        <v>63</v>
      </c>
    </row>
    <row r="20" spans="1:12" x14ac:dyDescent="0.3">
      <c r="A20" s="6">
        <v>46281</v>
      </c>
      <c r="B20" s="7" t="s">
        <v>65</v>
      </c>
      <c r="C20" s="8">
        <v>132.9</v>
      </c>
      <c r="D20" s="8">
        <v>132.94980000000001</v>
      </c>
      <c r="E20" s="9">
        <f t="shared" si="0"/>
        <v>-3.7457747209856951E-4</v>
      </c>
      <c r="F20" s="9">
        <v>3.7000000000000002E-3</v>
      </c>
      <c r="G20" s="7" t="s">
        <v>103</v>
      </c>
      <c r="H20" s="9"/>
      <c r="I20" s="9"/>
      <c r="J20" s="7" t="s">
        <v>50</v>
      </c>
      <c r="K20" s="2" t="s">
        <v>63</v>
      </c>
      <c r="L20" s="2" t="s">
        <v>63</v>
      </c>
    </row>
    <row r="21" spans="1:12" x14ac:dyDescent="0.3">
      <c r="A21" s="6">
        <v>46282</v>
      </c>
      <c r="B21" s="7" t="s">
        <v>66</v>
      </c>
      <c r="C21" s="8">
        <v>132.57</v>
      </c>
      <c r="D21" s="8">
        <v>132.28120000000001</v>
      </c>
      <c r="E21" s="9">
        <f t="shared" si="0"/>
        <v>2.1832278509719139E-3</v>
      </c>
      <c r="F21" s="9">
        <v>3.7000000000000002E-3</v>
      </c>
      <c r="G21" s="7" t="s">
        <v>103</v>
      </c>
      <c r="H21" s="9"/>
      <c r="I21" s="9"/>
      <c r="J21" s="7" t="s">
        <v>50</v>
      </c>
      <c r="K21" s="2" t="s">
        <v>63</v>
      </c>
      <c r="L21" s="2" t="s">
        <v>63</v>
      </c>
    </row>
    <row r="22" spans="1:12" x14ac:dyDescent="0.3">
      <c r="A22" s="6">
        <v>46283</v>
      </c>
      <c r="B22" s="7" t="s">
        <v>67</v>
      </c>
      <c r="C22" s="8">
        <v>134.53</v>
      </c>
      <c r="D22" s="8">
        <v>134.01050000000001</v>
      </c>
      <c r="E22" s="9">
        <f t="shared" si="0"/>
        <v>3.8765619111935656E-3</v>
      </c>
      <c r="F22" s="9">
        <v>3.7000000000000002E-3</v>
      </c>
      <c r="G22" s="7" t="s">
        <v>103</v>
      </c>
      <c r="H22" s="9"/>
      <c r="I22" s="9"/>
      <c r="J22" s="7" t="s">
        <v>50</v>
      </c>
      <c r="K22" s="2" t="s">
        <v>63</v>
      </c>
      <c r="L22" s="2" t="s">
        <v>63</v>
      </c>
    </row>
    <row r="23" spans="1:12" x14ac:dyDescent="0.3">
      <c r="A23" s="6">
        <v>46284</v>
      </c>
      <c r="B23" s="7" t="s">
        <v>68</v>
      </c>
      <c r="C23" s="8"/>
      <c r="D23" s="8"/>
      <c r="E23" s="9" t="str">
        <f t="shared" si="0"/>
        <v/>
      </c>
      <c r="F23" s="9">
        <v>3.7000000000000002E-3</v>
      </c>
      <c r="G23" s="7" t="s">
        <v>103</v>
      </c>
      <c r="H23" s="9"/>
      <c r="I23" s="9"/>
      <c r="J23" s="7" t="s">
        <v>50</v>
      </c>
      <c r="K23" s="2" t="s">
        <v>69</v>
      </c>
      <c r="L23" s="2" t="s">
        <v>86</v>
      </c>
    </row>
    <row r="24" spans="1:12" x14ac:dyDescent="0.3">
      <c r="A24" s="6">
        <v>46285</v>
      </c>
      <c r="B24" s="7" t="s">
        <v>71</v>
      </c>
      <c r="C24" s="8"/>
      <c r="D24" s="8"/>
      <c r="E24" s="9" t="str">
        <f t="shared" si="0"/>
        <v/>
      </c>
      <c r="F24" s="9">
        <v>3.7000000000000002E-3</v>
      </c>
      <c r="G24" s="7" t="s">
        <v>103</v>
      </c>
      <c r="H24" s="9"/>
      <c r="I24" s="9"/>
      <c r="J24" s="7" t="s">
        <v>50</v>
      </c>
      <c r="K24" s="2" t="s">
        <v>69</v>
      </c>
      <c r="L24" s="2" t="s">
        <v>86</v>
      </c>
    </row>
    <row r="25" spans="1:12" x14ac:dyDescent="0.3">
      <c r="A25" s="6">
        <v>46286</v>
      </c>
      <c r="B25" s="7" t="s">
        <v>62</v>
      </c>
      <c r="C25" s="8"/>
      <c r="D25" s="8"/>
      <c r="E25" s="9" t="str">
        <f t="shared" si="0"/>
        <v/>
      </c>
      <c r="F25" s="9">
        <v>3.7000000000000002E-3</v>
      </c>
      <c r="G25" s="7" t="s">
        <v>103</v>
      </c>
      <c r="H25" s="9"/>
      <c r="I25" s="9"/>
      <c r="J25" s="7" t="s">
        <v>50</v>
      </c>
      <c r="K25" s="2" t="s">
        <v>69</v>
      </c>
      <c r="L25" s="2" t="s">
        <v>86</v>
      </c>
    </row>
    <row r="28" spans="1:12" x14ac:dyDescent="0.3">
      <c r="A28" s="31" t="s">
        <v>72</v>
      </c>
      <c r="B28" s="22"/>
    </row>
    <row r="29" spans="1:12" ht="86.4" customHeight="1" x14ac:dyDescent="0.3">
      <c r="A29" s="1" t="s">
        <v>73</v>
      </c>
      <c r="B29" s="10" t="s">
        <v>104</v>
      </c>
    </row>
    <row r="30" spans="1:12" ht="57.6" customHeight="1" x14ac:dyDescent="0.3">
      <c r="A30" s="1" t="s">
        <v>75</v>
      </c>
      <c r="B30" s="10" t="s">
        <v>105</v>
      </c>
    </row>
    <row r="31" spans="1:12" ht="43.2" customHeight="1" x14ac:dyDescent="0.3">
      <c r="A31" s="1" t="s">
        <v>77</v>
      </c>
      <c r="B31" s="10" t="s">
        <v>106</v>
      </c>
    </row>
    <row r="32" spans="1:12" ht="43.2" customHeight="1" x14ac:dyDescent="0.3">
      <c r="A32" s="1" t="s">
        <v>79</v>
      </c>
      <c r="B32" s="10" t="s">
        <v>107</v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2"/>
  <sheetViews>
    <sheetView workbookViewId="0">
      <pane ySplit="10" topLeftCell="A11" activePane="bottomLeft" state="frozen"/>
      <selection sqref="A1:L1"/>
      <selection pane="bottomLeft" sqref="A1:L1"/>
    </sheetView>
  </sheetViews>
  <sheetFormatPr defaultRowHeight="14.4" x14ac:dyDescent="0.3"/>
  <cols>
    <col min="1" max="1" width="15" customWidth="1"/>
    <col min="2" max="3" width="18" customWidth="1"/>
    <col min="4" max="4" width="14" customWidth="1"/>
    <col min="5" max="5" width="28" customWidth="1"/>
    <col min="6" max="6" width="17" customWidth="1"/>
    <col min="7" max="7" width="15" customWidth="1"/>
    <col min="8" max="9" width="20" customWidth="1"/>
    <col min="10" max="10" width="18" customWidth="1"/>
    <col min="11" max="12" width="30" customWidth="1"/>
  </cols>
  <sheetData>
    <row r="1" spans="1:12" ht="24" customHeight="1" x14ac:dyDescent="0.35">
      <c r="A1" s="30" t="s">
        <v>108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spans="1:12" x14ac:dyDescent="0.3">
      <c r="A3" s="1" t="s">
        <v>37</v>
      </c>
      <c r="B3" s="3" t="s">
        <v>109</v>
      </c>
      <c r="D3" s="1" t="s">
        <v>39</v>
      </c>
      <c r="E3" s="28" t="s">
        <v>110</v>
      </c>
      <c r="F3" s="22"/>
      <c r="G3" s="22"/>
      <c r="H3" s="22"/>
      <c r="I3" s="22"/>
      <c r="J3" s="22"/>
      <c r="K3" s="22"/>
      <c r="L3" s="22"/>
    </row>
    <row r="4" spans="1:12" x14ac:dyDescent="0.3">
      <c r="A4" s="1" t="s">
        <v>41</v>
      </c>
      <c r="B4" s="3" t="s">
        <v>111</v>
      </c>
      <c r="E4" s="22"/>
      <c r="F4" s="22"/>
      <c r="G4" s="22"/>
      <c r="H4" s="22"/>
      <c r="I4" s="22"/>
      <c r="J4" s="22"/>
      <c r="K4" s="22"/>
      <c r="L4" s="22"/>
    </row>
    <row r="5" spans="1:12" x14ac:dyDescent="0.3">
      <c r="A5" s="1" t="s">
        <v>43</v>
      </c>
      <c r="B5" s="4"/>
      <c r="E5" s="22"/>
      <c r="F5" s="22"/>
      <c r="G5" s="22"/>
      <c r="H5" s="22"/>
      <c r="I5" s="22"/>
      <c r="J5" s="22"/>
      <c r="K5" s="22"/>
      <c r="L5" s="22"/>
    </row>
    <row r="6" spans="1:12" x14ac:dyDescent="0.3">
      <c r="A6" s="1" t="s">
        <v>44</v>
      </c>
      <c r="B6" s="3" t="s">
        <v>112</v>
      </c>
      <c r="E6" s="22"/>
      <c r="F6" s="22"/>
      <c r="G6" s="22"/>
      <c r="H6" s="22"/>
      <c r="I6" s="22"/>
      <c r="J6" s="22"/>
      <c r="K6" s="22"/>
      <c r="L6" s="22"/>
    </row>
    <row r="7" spans="1:12" x14ac:dyDescent="0.3">
      <c r="A7" s="1" t="s">
        <v>46</v>
      </c>
      <c r="B7" s="4"/>
      <c r="E7" s="22"/>
      <c r="F7" s="22"/>
      <c r="G7" s="22"/>
      <c r="H7" s="22"/>
      <c r="I7" s="22"/>
      <c r="J7" s="22"/>
      <c r="K7" s="22"/>
      <c r="L7" s="22"/>
    </row>
    <row r="8" spans="1:12" x14ac:dyDescent="0.3">
      <c r="A8" s="1" t="s">
        <v>47</v>
      </c>
      <c r="B8" s="4" t="s">
        <v>113</v>
      </c>
      <c r="E8" s="29"/>
      <c r="F8" s="29"/>
      <c r="G8" s="29"/>
      <c r="H8" s="29"/>
      <c r="I8" s="29"/>
      <c r="J8" s="29"/>
      <c r="K8" s="29"/>
      <c r="L8" s="29"/>
    </row>
    <row r="9" spans="1:12" x14ac:dyDescent="0.3">
      <c r="A9" s="1" t="s">
        <v>49</v>
      </c>
      <c r="B9" s="3" t="s">
        <v>50</v>
      </c>
    </row>
    <row r="10" spans="1:12" ht="42" customHeight="1" x14ac:dyDescent="0.3">
      <c r="A10" s="5" t="s">
        <v>24</v>
      </c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 t="s">
        <v>57</v>
      </c>
      <c r="I10" s="5" t="s">
        <v>58</v>
      </c>
      <c r="J10" s="5" t="s">
        <v>59</v>
      </c>
      <c r="K10" s="5" t="s">
        <v>60</v>
      </c>
      <c r="L10" s="5" t="s">
        <v>61</v>
      </c>
    </row>
    <row r="11" spans="1:12" x14ac:dyDescent="0.3">
      <c r="A11" s="6">
        <v>46272</v>
      </c>
      <c r="B11" s="7" t="s">
        <v>62</v>
      </c>
      <c r="C11" s="8">
        <v>137.1</v>
      </c>
      <c r="D11" s="8">
        <v>136.34620000000001</v>
      </c>
      <c r="E11" s="9">
        <f t="shared" ref="E11:E25" si="0">IFERROR(C11/D11-1,"")</f>
        <v>5.5285735869425867E-3</v>
      </c>
      <c r="F11" s="9"/>
      <c r="G11" s="7" t="s">
        <v>112</v>
      </c>
      <c r="H11" s="9"/>
      <c r="I11" s="9"/>
      <c r="J11" s="7" t="s">
        <v>50</v>
      </c>
      <c r="K11" s="2" t="s">
        <v>63</v>
      </c>
      <c r="L11" s="2" t="s">
        <v>63</v>
      </c>
    </row>
    <row r="12" spans="1:12" x14ac:dyDescent="0.3">
      <c r="A12" s="6">
        <v>46273</v>
      </c>
      <c r="B12" s="7" t="s">
        <v>64</v>
      </c>
      <c r="C12" s="8">
        <v>137.19999999999999</v>
      </c>
      <c r="D12" s="8">
        <v>136.69390000000001</v>
      </c>
      <c r="E12" s="9">
        <f t="shared" si="0"/>
        <v>3.7024329542136858E-3</v>
      </c>
      <c r="F12" s="9"/>
      <c r="G12" s="7" t="s">
        <v>112</v>
      </c>
      <c r="H12" s="9"/>
      <c r="I12" s="9"/>
      <c r="J12" s="7" t="s">
        <v>50</v>
      </c>
      <c r="K12" s="2" t="s">
        <v>63</v>
      </c>
      <c r="L12" s="2" t="s">
        <v>63</v>
      </c>
    </row>
    <row r="13" spans="1:12" x14ac:dyDescent="0.3">
      <c r="A13" s="6">
        <v>46274</v>
      </c>
      <c r="B13" s="7" t="s">
        <v>65</v>
      </c>
      <c r="C13" s="8">
        <v>136.9</v>
      </c>
      <c r="D13" s="8">
        <v>136.93600000000001</v>
      </c>
      <c r="E13" s="9">
        <f t="shared" si="0"/>
        <v>-2.6289653560784831E-4</v>
      </c>
      <c r="F13" s="9"/>
      <c r="G13" s="7" t="s">
        <v>112</v>
      </c>
      <c r="H13" s="9"/>
      <c r="I13" s="9"/>
      <c r="J13" s="7" t="s">
        <v>50</v>
      </c>
      <c r="K13" s="2" t="s">
        <v>63</v>
      </c>
      <c r="L13" s="2" t="s">
        <v>63</v>
      </c>
    </row>
    <row r="14" spans="1:12" x14ac:dyDescent="0.3">
      <c r="A14" s="6">
        <v>46275</v>
      </c>
      <c r="B14" s="7" t="s">
        <v>66</v>
      </c>
      <c r="C14" s="8">
        <v>137.19999999999999</v>
      </c>
      <c r="D14" s="8">
        <v>136.93170000000001</v>
      </c>
      <c r="E14" s="9">
        <f t="shared" si="0"/>
        <v>1.9593709856811081E-3</v>
      </c>
      <c r="F14" s="9"/>
      <c r="G14" s="7" t="s">
        <v>112</v>
      </c>
      <c r="H14" s="9"/>
      <c r="I14" s="9"/>
      <c r="J14" s="7" t="s">
        <v>50</v>
      </c>
      <c r="K14" s="2" t="s">
        <v>63</v>
      </c>
      <c r="L14" s="2" t="s">
        <v>63</v>
      </c>
    </row>
    <row r="15" spans="1:12" x14ac:dyDescent="0.3">
      <c r="A15" s="6">
        <v>46276</v>
      </c>
      <c r="B15" s="7" t="s">
        <v>67</v>
      </c>
      <c r="C15" s="8">
        <v>136.30000000000001</v>
      </c>
      <c r="D15" s="8">
        <v>135.86349999999999</v>
      </c>
      <c r="E15" s="9">
        <f t="shared" si="0"/>
        <v>3.2127834186519433E-3</v>
      </c>
      <c r="F15" s="9"/>
      <c r="G15" s="7" t="s">
        <v>112</v>
      </c>
      <c r="H15" s="9"/>
      <c r="I15" s="9"/>
      <c r="J15" s="7" t="s">
        <v>50</v>
      </c>
      <c r="K15" s="2" t="s">
        <v>63</v>
      </c>
      <c r="L15" s="2" t="s">
        <v>63</v>
      </c>
    </row>
    <row r="16" spans="1:12" ht="28.8" customHeight="1" x14ac:dyDescent="0.3">
      <c r="A16" s="6">
        <v>46277</v>
      </c>
      <c r="B16" s="7" t="s">
        <v>68</v>
      </c>
      <c r="C16" s="8"/>
      <c r="D16" s="8"/>
      <c r="E16" s="9" t="str">
        <f t="shared" si="0"/>
        <v/>
      </c>
      <c r="F16" s="9"/>
      <c r="G16" s="7" t="s">
        <v>112</v>
      </c>
      <c r="H16" s="9"/>
      <c r="I16" s="9"/>
      <c r="J16" s="7" t="s">
        <v>50</v>
      </c>
      <c r="K16" s="2" t="s">
        <v>69</v>
      </c>
      <c r="L16" s="2" t="s">
        <v>70</v>
      </c>
    </row>
    <row r="17" spans="1:12" ht="28.8" customHeight="1" x14ac:dyDescent="0.3">
      <c r="A17" s="6">
        <v>46278</v>
      </c>
      <c r="B17" s="7" t="s">
        <v>71</v>
      </c>
      <c r="C17" s="8"/>
      <c r="D17" s="8"/>
      <c r="E17" s="9" t="str">
        <f t="shared" si="0"/>
        <v/>
      </c>
      <c r="F17" s="9"/>
      <c r="G17" s="7" t="s">
        <v>112</v>
      </c>
      <c r="H17" s="9"/>
      <c r="I17" s="9"/>
      <c r="J17" s="7" t="s">
        <v>50</v>
      </c>
      <c r="K17" s="2" t="s">
        <v>69</v>
      </c>
      <c r="L17" s="2" t="s">
        <v>70</v>
      </c>
    </row>
    <row r="18" spans="1:12" ht="28.8" customHeight="1" x14ac:dyDescent="0.3">
      <c r="A18" s="6">
        <v>46279</v>
      </c>
      <c r="B18" s="7" t="s">
        <v>62</v>
      </c>
      <c r="C18" s="8">
        <v>136.30000000000001</v>
      </c>
      <c r="D18" s="8"/>
      <c r="E18" s="9" t="str">
        <f t="shared" si="0"/>
        <v/>
      </c>
      <c r="F18" s="9"/>
      <c r="G18" s="7" t="s">
        <v>112</v>
      </c>
      <c r="H18" s="9"/>
      <c r="I18" s="9"/>
      <c r="J18" s="7" t="s">
        <v>50</v>
      </c>
      <c r="K18" s="2" t="s">
        <v>63</v>
      </c>
      <c r="L18" s="2" t="s">
        <v>70</v>
      </c>
    </row>
    <row r="19" spans="1:12" x14ac:dyDescent="0.3">
      <c r="A19" s="6">
        <v>46280</v>
      </c>
      <c r="B19" s="7" t="s">
        <v>64</v>
      </c>
      <c r="C19" s="8">
        <v>133.94999999999999</v>
      </c>
      <c r="D19" s="8">
        <v>134.61959999999999</v>
      </c>
      <c r="E19" s="9">
        <f t="shared" si="0"/>
        <v>-4.9740156708235617E-3</v>
      </c>
      <c r="F19" s="9"/>
      <c r="G19" s="7" t="s">
        <v>112</v>
      </c>
      <c r="H19" s="9"/>
      <c r="I19" s="9"/>
      <c r="J19" s="7" t="s">
        <v>50</v>
      </c>
      <c r="K19" s="2" t="s">
        <v>63</v>
      </c>
      <c r="L19" s="2" t="s">
        <v>63</v>
      </c>
    </row>
    <row r="20" spans="1:12" x14ac:dyDescent="0.3">
      <c r="A20" s="6">
        <v>46281</v>
      </c>
      <c r="B20" s="7" t="s">
        <v>65</v>
      </c>
      <c r="C20" s="8">
        <v>135.6</v>
      </c>
      <c r="D20" s="8">
        <v>136.19909999999999</v>
      </c>
      <c r="E20" s="9">
        <f t="shared" si="0"/>
        <v>-4.398707480445907E-3</v>
      </c>
      <c r="F20" s="9"/>
      <c r="G20" s="7" t="s">
        <v>112</v>
      </c>
      <c r="H20" s="9"/>
      <c r="I20" s="9"/>
      <c r="J20" s="7" t="s">
        <v>50</v>
      </c>
      <c r="K20" s="2" t="s">
        <v>63</v>
      </c>
      <c r="L20" s="2" t="s">
        <v>63</v>
      </c>
    </row>
    <row r="21" spans="1:12" x14ac:dyDescent="0.3">
      <c r="A21" s="6">
        <v>46282</v>
      </c>
      <c r="B21" s="7" t="s">
        <v>66</v>
      </c>
      <c r="C21" s="8">
        <v>135.30000000000001</v>
      </c>
      <c r="D21" s="8">
        <v>135.5155</v>
      </c>
      <c r="E21" s="9">
        <f t="shared" si="0"/>
        <v>-1.5902239965169818E-3</v>
      </c>
      <c r="F21" s="9"/>
      <c r="G21" s="7" t="s">
        <v>112</v>
      </c>
      <c r="H21" s="9"/>
      <c r="I21" s="9"/>
      <c r="J21" s="7" t="s">
        <v>50</v>
      </c>
      <c r="K21" s="2" t="s">
        <v>63</v>
      </c>
      <c r="L21" s="2" t="s">
        <v>63</v>
      </c>
    </row>
    <row r="22" spans="1:12" x14ac:dyDescent="0.3">
      <c r="A22" s="6">
        <v>46283</v>
      </c>
      <c r="B22" s="7" t="s">
        <v>67</v>
      </c>
      <c r="C22" s="8">
        <v>137.65</v>
      </c>
      <c r="D22" s="8">
        <v>137.2833</v>
      </c>
      <c r="E22" s="9">
        <f t="shared" si="0"/>
        <v>2.6711187740970921E-3</v>
      </c>
      <c r="F22" s="9"/>
      <c r="G22" s="7" t="s">
        <v>112</v>
      </c>
      <c r="H22" s="9"/>
      <c r="I22" s="9"/>
      <c r="J22" s="7" t="s">
        <v>50</v>
      </c>
      <c r="K22" s="2" t="s">
        <v>63</v>
      </c>
      <c r="L22" s="2" t="s">
        <v>63</v>
      </c>
    </row>
    <row r="23" spans="1:12" ht="28.8" customHeight="1" x14ac:dyDescent="0.3">
      <c r="A23" s="6">
        <v>46284</v>
      </c>
      <c r="B23" s="7" t="s">
        <v>68</v>
      </c>
      <c r="C23" s="8"/>
      <c r="D23" s="8"/>
      <c r="E23" s="9" t="str">
        <f t="shared" si="0"/>
        <v/>
      </c>
      <c r="F23" s="9"/>
      <c r="G23" s="7" t="s">
        <v>112</v>
      </c>
      <c r="H23" s="9"/>
      <c r="I23" s="9"/>
      <c r="J23" s="7" t="s">
        <v>50</v>
      </c>
      <c r="K23" s="2" t="s">
        <v>69</v>
      </c>
      <c r="L23" s="2" t="s">
        <v>70</v>
      </c>
    </row>
    <row r="24" spans="1:12" ht="28.8" customHeight="1" x14ac:dyDescent="0.3">
      <c r="A24" s="6">
        <v>46285</v>
      </c>
      <c r="B24" s="7" t="s">
        <v>71</v>
      </c>
      <c r="C24" s="8"/>
      <c r="D24" s="8"/>
      <c r="E24" s="9" t="str">
        <f t="shared" si="0"/>
        <v/>
      </c>
      <c r="F24" s="9"/>
      <c r="G24" s="7" t="s">
        <v>112</v>
      </c>
      <c r="H24" s="9"/>
      <c r="I24" s="9"/>
      <c r="J24" s="7" t="s">
        <v>50</v>
      </c>
      <c r="K24" s="2" t="s">
        <v>69</v>
      </c>
      <c r="L24" s="2" t="s">
        <v>70</v>
      </c>
    </row>
    <row r="25" spans="1:12" ht="28.8" customHeight="1" x14ac:dyDescent="0.3">
      <c r="A25" s="6">
        <v>46286</v>
      </c>
      <c r="B25" s="7" t="s">
        <v>62</v>
      </c>
      <c r="C25" s="8"/>
      <c r="D25" s="8"/>
      <c r="E25" s="9" t="str">
        <f t="shared" si="0"/>
        <v/>
      </c>
      <c r="F25" s="9"/>
      <c r="G25" s="7" t="s">
        <v>112</v>
      </c>
      <c r="H25" s="9"/>
      <c r="I25" s="9"/>
      <c r="J25" s="7" t="s">
        <v>50</v>
      </c>
      <c r="K25" s="2" t="s">
        <v>69</v>
      </c>
      <c r="L25" s="2" t="s">
        <v>70</v>
      </c>
    </row>
    <row r="28" spans="1:12" x14ac:dyDescent="0.3">
      <c r="A28" s="31" t="s">
        <v>72</v>
      </c>
      <c r="B28" s="22"/>
    </row>
    <row r="29" spans="1:12" ht="115.2" customHeight="1" x14ac:dyDescent="0.3">
      <c r="A29" s="1" t="s">
        <v>73</v>
      </c>
      <c r="B29" s="10" t="s">
        <v>114</v>
      </c>
    </row>
    <row r="30" spans="1:12" ht="57.6" customHeight="1" x14ac:dyDescent="0.3">
      <c r="A30" s="1" t="s">
        <v>75</v>
      </c>
      <c r="B30" s="10" t="s">
        <v>115</v>
      </c>
    </row>
    <row r="31" spans="1:12" ht="72" customHeight="1" x14ac:dyDescent="0.3">
      <c r="A31" s="1" t="s">
        <v>77</v>
      </c>
      <c r="B31" s="10" t="s">
        <v>116</v>
      </c>
    </row>
    <row r="32" spans="1:12" ht="43.2" customHeight="1" x14ac:dyDescent="0.3">
      <c r="A32" s="1" t="s">
        <v>79</v>
      </c>
      <c r="B32" s="10" t="s">
        <v>117</v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"/>
  <sheetViews>
    <sheetView workbookViewId="0">
      <pane ySplit="2" topLeftCell="A3" activePane="bottomLeft" state="frozen"/>
      <selection pane="bottomLeft" sqref="A1:D1"/>
    </sheetView>
  </sheetViews>
  <sheetFormatPr defaultRowHeight="14.4" x14ac:dyDescent="0.3"/>
  <cols>
    <col min="1" max="1" width="25" customWidth="1"/>
    <col min="2" max="2" width="110" customWidth="1"/>
  </cols>
  <sheetData>
    <row r="1" spans="1:4" ht="18" customHeight="1" x14ac:dyDescent="0.35">
      <c r="A1" s="30" t="s">
        <v>118</v>
      </c>
      <c r="B1" s="22"/>
      <c r="C1" s="22"/>
      <c r="D1" s="22"/>
    </row>
    <row r="3" spans="1:4" x14ac:dyDescent="0.3">
      <c r="A3" s="1" t="s">
        <v>119</v>
      </c>
      <c r="B3" s="2" t="s">
        <v>120</v>
      </c>
    </row>
    <row r="4" spans="1:4" x14ac:dyDescent="0.3">
      <c r="A4" s="1" t="s">
        <v>121</v>
      </c>
      <c r="B4" s="2" t="s">
        <v>122</v>
      </c>
    </row>
    <row r="5" spans="1:4" ht="28.8" customHeight="1" x14ac:dyDescent="0.3">
      <c r="A5" s="1" t="s">
        <v>123</v>
      </c>
      <c r="B5" s="2" t="s">
        <v>124</v>
      </c>
    </row>
    <row r="6" spans="1:4" x14ac:dyDescent="0.3">
      <c r="A6" s="1" t="s">
        <v>125</v>
      </c>
      <c r="B6" s="2" t="s">
        <v>126</v>
      </c>
    </row>
    <row r="7" spans="1:4" ht="28.8" customHeight="1" x14ac:dyDescent="0.3">
      <c r="A7" s="1" t="s">
        <v>127</v>
      </c>
      <c r="B7" s="2" t="s">
        <v>128</v>
      </c>
    </row>
    <row r="8" spans="1:4" x14ac:dyDescent="0.3">
      <c r="A8" s="1" t="s">
        <v>129</v>
      </c>
      <c r="B8" s="2" t="s">
        <v>130</v>
      </c>
    </row>
    <row r="9" spans="1:4" ht="28.8" customHeight="1" x14ac:dyDescent="0.3">
      <c r="A9" s="1" t="s">
        <v>131</v>
      </c>
      <c r="B9" s="2" t="s">
        <v>132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 Dashboard</vt:lpstr>
      <vt:lpstr>Dashboard</vt:lpstr>
      <vt:lpstr>GOLDBETA</vt:lpstr>
      <vt:lpstr>HDFCGOLD</vt:lpstr>
      <vt:lpstr>GOLDIETF</vt:lpstr>
      <vt:lpstr>BSLGOLDETF</vt:lpstr>
      <vt:lpstr>LICMFGOLD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Gold ETF Daily Price NAV TER TD Tracker</dc:title>
  <dc:subject>Date-wise research tracker for five Indian gold ETFs</dc:subject>
  <dc:creator>OpenAI</dc:creator>
  <cp:lastModifiedBy>Preetam Bezbarua</cp:lastModifiedBy>
  <dcterms:created xsi:type="dcterms:W3CDTF">2026-09-20T22:03:27Z</dcterms:created>
  <dcterms:modified xsi:type="dcterms:W3CDTF">2026-09-21T08:28:08Z</dcterms:modified>
</cp:coreProperties>
</file>