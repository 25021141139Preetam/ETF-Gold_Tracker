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9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46285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136.45</v>
      </c>
      <c r="K11" s="39" t="n">
        <v>100017.85</v>
      </c>
      <c r="L11" s="39" t="n">
        <v>161432.684648998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127.9</v>
      </c>
      <c r="D23" s="8" t="n"/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46286</v>
      </c>
      <c r="B24" s="7" t="inlineStr">
        <is>
          <t>Mon</t>
        </is>
      </c>
      <c r="C24" s="8" t="n"/>
      <c r="D24" s="8" t="n"/>
      <c r="E24" s="9">
        <f>IFERROR(C24/D24-1,"")</f>
        <v/>
      </c>
      <c r="F24" s="9" t="n">
        <v>0.0059</v>
      </c>
      <c r="G24" s="7" t="inlineStr">
        <is>
          <t>2026-09-18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0.0059</v>
      </c>
      <c r="G25" s="7" t="inlineStr">
        <is>
          <t>2026-09-18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44" customHeight="1" s="33">
      <c r="A29" s="1" t="inlineStr">
        <is>
          <t>NAV source</t>
        </is>
      </c>
      <c r="B29" s="10" t="inlineStr">
        <is>
          <t>User-supplied UTI Mutual Fund / AMFI NAV extract; official history endpoint: 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https://www.dezerv.in/mutual-funds/uti-gold-etf-inf789f1aux7/</t>
        </is>
      </c>
    </row>
    <row r="31" ht="72" customHeight="1" s="33">
      <c r="A31" s="1" t="inlineStr">
        <is>
          <t>TD source</t>
        </is>
      </c>
      <c r="B31" s="10" t="inlineStr">
        <is>
          <t>https://www.utimf.com/mutual-funds/uti-gold-exchange-traded-fund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https://finance.yahoo.com/quote/GOLDBETA.NS/history/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129.83</v>
      </c>
      <c r="D23" s="8" t="n"/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46286</v>
      </c>
      <c r="B24" s="7" t="inlineStr">
        <is>
          <t>Mon</t>
        </is>
      </c>
      <c r="C24" s="8" t="n"/>
      <c r="D24" s="8" t="n"/>
      <c r="E24" s="9">
        <f>IFERROR(C24/D24-1,"")</f>
        <v/>
      </c>
      <c r="F24" s="9" t="n">
        <v>0.006</v>
      </c>
      <c r="G24" s="7" t="inlineStr">
        <is>
          <t>2026-08-30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0.006</v>
      </c>
      <c r="G25" s="7" t="inlineStr">
        <is>
          <t>2026-08-30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HDFC Mutual Fund / AMFI NAV extract (HDFC Gold ETF - Growth Option);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https://www.advisorkhoj.com/mutual-funds-research/HDFC-Gold-ETF-Growth-Option</t>
        </is>
      </c>
    </row>
    <row r="31" ht="57.6" customHeight="1" s="33">
      <c r="A31" s="1" t="inlineStr">
        <is>
          <t>TD source</t>
        </is>
      </c>
      <c r="B31" s="10" t="inlineStr">
        <is>
          <t>https://www.hdfcfund.com/explore/mutual-funds/hdfc-gold-etf/regular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https://finance.yahoo.com/quote/HDFCGOLD.NS/history/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130.01</v>
      </c>
      <c r="D23" s="8" t="n"/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46286</v>
      </c>
      <c r="B24" s="7" t="inlineStr">
        <is>
          <t>Mon</t>
        </is>
      </c>
      <c r="C24" s="8" t="n"/>
      <c r="D24" s="8" t="n"/>
      <c r="E24" s="9">
        <f>IFERROR(C24/D24-1,"")</f>
        <v/>
      </c>
      <c r="F24" s="9" t="n">
        <v>0.0042</v>
      </c>
      <c r="G24" s="7" t="inlineStr">
        <is>
          <t>2026-08-31</t>
        </is>
      </c>
      <c r="H24" s="9" t="n">
        <v>-0.0165</v>
      </c>
      <c r="I24" s="9" t="n">
        <v>-0.0137</v>
      </c>
      <c r="J24" s="7" t="inlineStr">
        <is>
          <t>2026-08-31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0.0042</v>
      </c>
      <c r="G25" s="7" t="inlineStr">
        <is>
          <t>2026-08-31</t>
        </is>
      </c>
      <c r="H25" s="9" t="n">
        <v>-0.0165</v>
      </c>
      <c r="I25" s="9" t="n">
        <v>-0.0137</v>
      </c>
      <c r="J25" s="7" t="inlineStr">
        <is>
          <t>2026-08-31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ICICI Prudential Mutual Fund NAV extract (ICICI Prudential Gold ETF);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https://www.icicipruamc.com/blob/knowledgecentre/factsheet-passive/Passive.pdf</t>
        </is>
      </c>
    </row>
    <row r="31" ht="72" customHeight="1" s="33">
      <c r="A31" s="1" t="inlineStr">
        <is>
          <t>TD source</t>
        </is>
      </c>
      <c r="B31" s="10" t="inlineStr">
        <is>
          <t>https://www.icicipruamc.com/blob/knowledgecentre/factsheet-passive/Passive.pdf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https://finance.yahoo.com/quote/GOLDIETF.NS/history/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133.72</v>
      </c>
      <c r="D23" s="8" t="n"/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46286</v>
      </c>
      <c r="B24" s="7" t="inlineStr">
        <is>
          <t>Mon</t>
        </is>
      </c>
      <c r="C24" s="8" t="n"/>
      <c r="D24" s="8" t="n"/>
      <c r="E24" s="9">
        <f>IFERROR(C24/D24-1,"")</f>
        <v/>
      </c>
      <c r="F24" s="9" t="n">
        <v>0.0037</v>
      </c>
      <c r="G24" s="7" t="inlineStr">
        <is>
          <t>2026-07-31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0.0037</v>
      </c>
      <c r="G25" s="7" t="inlineStr">
        <is>
          <t>2026-07-31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86.40000000000001" customHeight="1" s="33">
      <c r="A29" s="1" t="inlineStr">
        <is>
          <t>NAV source</t>
        </is>
      </c>
      <c r="B29" s="10" t="inlineStr">
        <is>
          <t>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https://mutualfund.adityabirlacapital.com/empower/Passive-ETFs/Gold-ETF.html</t>
        </is>
      </c>
    </row>
    <row r="31" ht="43.2" customHeight="1" s="33">
      <c r="A31" s="1" t="inlineStr">
        <is>
          <t>TD source</t>
        </is>
      </c>
      <c r="B31" s="10" t="inlineStr">
        <is>
          <t>https://www.amfiindia.com/otherdata/tracking-error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https://finance.yahoo.com/quote/BSLGOLDETF.NS/history/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46286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136.45</v>
      </c>
      <c r="D23" s="8" t="n"/>
      <c r="E23" s="9">
        <f>IFERROR(C23/D23-1,"")</f>
        <v/>
      </c>
      <c r="F23" s="9" t="n"/>
      <c r="G23" s="7" t="inlineStr">
        <is>
          <t>Not reliably reported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46286</v>
      </c>
      <c r="B24" s="7" t="inlineStr">
        <is>
          <t>Mon</t>
        </is>
      </c>
      <c r="C24" s="8" t="n"/>
      <c r="D24" s="8" t="n"/>
      <c r="E24" s="9">
        <f>IFERROR(C24/D24-1,"")</f>
        <v/>
      </c>
      <c r="F24" s="9" t="n"/>
      <c r="G24" s="7" t="inlineStr">
        <is>
          <t>Not reliably reported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/>
      <c r="G25" s="7" t="inlineStr">
        <is>
          <t>Not reliably reported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LIC Mutual Fund NAV extract (LIC MF Gold Exchange Traded Fund); daily values verified for 07-Sep-2026 to 18-Sep-2026.</t>
        </is>
      </c>
    </row>
    <row r="30" ht="57.6" customHeight="1" s="33">
      <c r="A30" s="1" t="inlineStr">
        <is>
          <t>TER source</t>
        </is>
      </c>
      <c r="B30" s="10" t="inlineStr">
        <is>
          <t>https://www.licmf.com/snapshot/licmf-gold-exchange-traded-fund/LIC193</t>
        </is>
      </c>
    </row>
    <row r="31" ht="72" customHeight="1" s="33">
      <c r="A31" s="1" t="inlineStr">
        <is>
          <t>TD source</t>
        </is>
      </c>
      <c r="B31" s="10" t="inlineStr">
        <is>
          <t>https://www.licmf.com/assets/downloads/sai_sid_kim/2025-2026/39-856338300.pdf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https://finance.yahoo.com/quote/LICMFGOLD.NS/history/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2026-09-21T17:51:43Z</dcterms:modified>
  <cp:lastModifiedBy>Preetam Bezbarua</cp:lastModifiedBy>
</cp:coreProperties>
</file>