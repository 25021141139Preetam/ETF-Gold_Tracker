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OLDBETA" sheetId="3" state="visible" r:id="rId3"/>
    <sheet xmlns:r="http://schemas.openxmlformats.org/officeDocument/2006/relationships" name="HDFCGOLD" sheetId="4" state="visible" r:id="rId4"/>
    <sheet xmlns:r="http://schemas.openxmlformats.org/officeDocument/2006/relationships" name="GOLDIETF" sheetId="5" state="visible" r:id="rId5"/>
    <sheet xmlns:r="http://schemas.openxmlformats.org/officeDocument/2006/relationships" name="BSLGOLDETF" sheetId="6" state="visible" r:id="rId6"/>
    <sheet xmlns:r="http://schemas.openxmlformats.org/officeDocument/2006/relationships" name="LICMFGOLD" sheetId="7" state="visible" r:id="rId7"/>
    <sheet xmlns:r="http://schemas.openxmlformats.org/officeDocument/2006/relationships" name="Read Me" sheetId="8" state="visible" r:id="rId8"/>
  </sheets>
  <definedNames/>
  <calcPr calcId="181029" fullCalcOnLoad="1" forceFullCalc="1"/>
</workbook>
</file>

<file path=xl/styles.xml><?xml version="1.0" encoding="utf-8"?>
<styleSheet xmlns="http://schemas.openxmlformats.org/spreadsheetml/2006/main">
  <numFmts count="9">
    <numFmt numFmtId="164" formatCode="dd\-mmm\-yyyy"/>
    <numFmt numFmtId="165" formatCode="#,##0.0000"/>
    <numFmt numFmtId="166" formatCode="dd\-mmm\-yy"/>
    <numFmt numFmtId="167" formatCode="[$₹-4009]#,##0.00"/>
    <numFmt numFmtId="168" formatCode="[$₹-4009]#,##0.00;[Red]\([$₹-4009]#,##0.00\)"/>
    <numFmt numFmtId="169" formatCode="0.00%;[Red]\(0.00%\)"/>
    <numFmt numFmtId="170" formatCode="dd-mmm-yy"/>
    <numFmt numFmtId="171" formatCode="[$₹-en-IN]#,##0.00"/>
    <numFmt numFmtId="172" formatCode="yyyy-mm-dd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D97706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3864"/>
        <bgColor rgb="FF1F38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0" fontId="0" fillId="0" borderId="1" pivotButton="0" quotePrefix="0" xfId="0"/>
    <xf numFmtId="0" fontId="3" fillId="2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0" fontId="0" fillId="0" borderId="1" applyAlignment="1" pivotButton="0" quotePrefix="0" xfId="0">
      <alignment wrapText="1"/>
    </xf>
    <xf numFmtId="0" fontId="4" fillId="4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pivotButton="0" quotePrefix="0" xfId="0"/>
    <xf numFmtId="0" fontId="6" fillId="0" borderId="0" pivotButton="0" quotePrefix="0" xfId="0"/>
    <xf numFmtId="0" fontId="8" fillId="5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0" fontId="9" fillId="6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168" fontId="7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1" fillId="2" borderId="0" pivotButton="0" quotePrefix="0" xfId="0"/>
    <xf numFmtId="0" fontId="3" fillId="2" borderId="0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167" fontId="11" fillId="0" borderId="0" applyAlignment="1" pivotButton="0" quotePrefix="0" xfId="0">
      <alignment horizontal="left" vertical="center"/>
    </xf>
    <xf numFmtId="170" fontId="0" fillId="0" borderId="0" applyAlignment="1" pivotButton="0" quotePrefix="0" xfId="0">
      <alignment horizontal="center" vertical="center"/>
    </xf>
    <xf numFmtId="171" fontId="0" fillId="0" borderId="0" pivotButton="0" quotePrefix="0" xfId="0"/>
    <xf numFmtId="172" fontId="0" fillId="0" borderId="1" applyAlignment="1" pivotButton="0" quotePrefix="0" xfId="0">
      <alignment vertical="top"/>
    </xf>
    <xf numFmtId="170" fontId="0" fillId="0" borderId="0" applyAlignment="1" pivotButton="0" quotePrefix="0" xfId="0">
      <alignment horizontal="center" vertical="center"/>
    </xf>
    <xf numFmtId="171" fontId="0" fillId="0" borderId="0" pivotButton="0" quotePrefix="0" xfId="0"/>
    <xf numFmtId="172" fontId="0" fillId="0" borderId="1" applyAlignment="1" pivotButton="0" quotePrefix="0" xfId="0">
      <alignment vertical="top"/>
    </xf>
    <xf numFmtId="0" fontId="2" fillId="3" borderId="2" pivotButton="0" quotePrefix="0" xfId="0"/>
    <xf numFmtId="172" fontId="0" fillId="0" borderId="0" pivotButton="0" quotePrefix="0" xfId="0"/>
    <xf numFmtId="171" fontId="0" fillId="0" borderId="1" applyAlignment="1" pivotButton="0" quotePrefix="0" xfId="0">
      <alignment vertical="top"/>
    </xf>
    <xf numFmtId="172" fontId="3" fillId="2" borderId="0" pivotButton="0" quotePrefix="0" xfId="0"/>
    <xf numFmtId="172" fontId="2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Holding Value Trend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GOLDBETA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Dashboard!$A$2:$A$16</f>
              <numCache>
                <formatCode>dd\-mmm\-yy</formatCode>
                <ptCount val="15"/>
                <pt idx="0">
                  <v>46272</v>
                </pt>
                <pt idx="1">
                  <v>46273</v>
                </pt>
                <pt idx="2">
                  <v>46274</v>
                </pt>
                <pt idx="3">
                  <v>46275</v>
                </pt>
                <pt idx="4">
                  <v>46276</v>
                </pt>
                <pt idx="5">
                  <v>46280</v>
                </pt>
                <pt idx="6">
                  <v>46281</v>
                </pt>
                <pt idx="7">
                  <v>46282</v>
                </pt>
                <pt idx="8">
                  <v>46283</v>
                </pt>
              </numCache>
            </numRef>
          </cat>
          <val>
            <numRef>
              <f>Dashboard!$C$1:$C$16</f>
              <numCache>
                <formatCode>[$₹-4009]#,##0.00</formatCode>
                <ptCount val="16"/>
                <pt idx="0">
                  <formatCode>General</formatCode>
                  <v>0</v>
                </pt>
                <pt idx="1">
                  <v>301568</v>
                </pt>
                <pt idx="2">
                  <v>301921.4</v>
                </pt>
                <pt idx="3">
                  <v>302157</v>
                </pt>
                <pt idx="4">
                  <v>302746</v>
                </pt>
                <pt idx="5">
                  <v>300390</v>
                </pt>
                <pt idx="6">
                  <v>296973.8</v>
                </pt>
                <pt idx="7">
                  <v>299565.4</v>
                </pt>
                <pt idx="8">
                  <v>298858.6</v>
                </pt>
                <pt idx="9">
                  <v>302981.6</v>
                </pt>
              </numCache>
            </numRef>
          </val>
          <smooth val="1"/>
        </ser>
        <ser>
          <idx val="1"/>
          <order val="1"/>
          <tx>
            <v>HDFCGOLD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Dashboard!$A$2:$A$16</f>
              <numCache>
                <formatCode>dd\-mmm\-yy</formatCode>
                <ptCount val="15"/>
                <pt idx="0">
                  <v>46272</v>
                </pt>
                <pt idx="1">
                  <v>46273</v>
                </pt>
                <pt idx="2">
                  <v>46274</v>
                </pt>
                <pt idx="3">
                  <v>46275</v>
                </pt>
                <pt idx="4">
                  <v>46276</v>
                </pt>
                <pt idx="5">
                  <v>46280</v>
                </pt>
                <pt idx="6">
                  <v>46281</v>
                </pt>
                <pt idx="7">
                  <v>46282</v>
                </pt>
                <pt idx="8">
                  <v>46283</v>
                </pt>
              </numCache>
            </numRef>
          </cat>
          <val>
            <numRef>
              <f>Dashboard!$E$1:$E$16</f>
              <numCache>
                <formatCode>[$₹-4009]#,##0.00</formatCode>
                <ptCount val="16"/>
                <pt idx="0">
                  <formatCode>General</formatCode>
                  <v>0</v>
                </pt>
                <pt idx="1">
                  <v>251187.92</v>
                </pt>
                <pt idx="2">
                  <v>251768.12</v>
                </pt>
                <pt idx="3">
                  <v>251536.04</v>
                </pt>
                <pt idx="4">
                  <v>252367.66</v>
                </pt>
                <pt idx="5">
                  <v>250201.58</v>
                </pt>
                <pt idx="6">
                  <v>247319.92</v>
                </pt>
                <pt idx="7">
                  <v>249698.74</v>
                </pt>
                <pt idx="8">
                  <v>248867.12</v>
                </pt>
                <pt idx="9">
                  <v>252657.76</v>
                </pt>
              </numCache>
            </numRef>
          </val>
          <smooth val="1"/>
        </ser>
        <ser>
          <idx val="2"/>
          <order val="2"/>
          <tx>
            <v>GOLDIETF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Dashboard!$A$2:$A$16</f>
              <numCache>
                <formatCode>dd\-mmm\-yy</formatCode>
                <ptCount val="15"/>
                <pt idx="0">
                  <v>46272</v>
                </pt>
                <pt idx="1">
                  <v>46273</v>
                </pt>
                <pt idx="2">
                  <v>46274</v>
                </pt>
                <pt idx="3">
                  <v>46275</v>
                </pt>
                <pt idx="4">
                  <v>46276</v>
                </pt>
                <pt idx="5">
                  <v>46280</v>
                </pt>
                <pt idx="6">
                  <v>46281</v>
                </pt>
                <pt idx="7">
                  <v>46282</v>
                </pt>
                <pt idx="8">
                  <v>46283</v>
                </pt>
              </numCache>
            </numRef>
          </cat>
          <val>
            <numRef>
              <f>Dashboard!$G$1:$G$16</f>
              <numCache>
                <formatCode>[$₹-4009]#,##0.00</formatCode>
                <ptCount val="16"/>
                <pt idx="0">
                  <formatCode>General</formatCode>
                  <v>0</v>
                </pt>
                <pt idx="1">
                  <v>200735.44</v>
                </pt>
                <pt idx="2">
                  <v>201306.72</v>
                </pt>
                <pt idx="3">
                  <v>201291.28</v>
                </pt>
                <pt idx="4">
                  <v>201878</v>
                </pt>
                <pt idx="5">
                  <v>200148.72</v>
                </pt>
                <pt idx="6">
                  <v>197539.36</v>
                </pt>
                <pt idx="7">
                  <v>199855.36</v>
                </pt>
                <pt idx="8">
                  <v>199129.68</v>
                </pt>
                <pt idx="9">
                  <v>202511.04</v>
                </pt>
              </numCache>
            </numRef>
          </val>
          <smooth val="1"/>
        </ser>
        <ser>
          <idx val="3"/>
          <order val="3"/>
          <tx>
            <v>BSLGOLDETF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Dashboard!$A$2:$A$16</f>
              <numCache>
                <formatCode>dd\-mmm\-yy</formatCode>
                <ptCount val="15"/>
                <pt idx="0">
                  <v>46272</v>
                </pt>
                <pt idx="1">
                  <v>46273</v>
                </pt>
                <pt idx="2">
                  <v>46274</v>
                </pt>
                <pt idx="3">
                  <v>46275</v>
                </pt>
                <pt idx="4">
                  <v>46276</v>
                </pt>
                <pt idx="5">
                  <v>46280</v>
                </pt>
                <pt idx="6">
                  <v>46281</v>
                </pt>
                <pt idx="7">
                  <v>46282</v>
                </pt>
                <pt idx="8">
                  <v>46283</v>
                </pt>
              </numCache>
            </numRef>
          </cat>
          <val>
            <numRef>
              <f>Dashboard!$I$1:$I$16</f>
              <numCache>
                <formatCode>[$₹-4009]#,##0.00</formatCode>
                <ptCount val="16"/>
                <pt idx="0">
                  <formatCode>General</formatCode>
                  <v>0</v>
                </pt>
                <pt idx="1">
                  <v>148674.02</v>
                </pt>
                <pt idx="2">
                  <v>148840.67</v>
                </pt>
                <pt idx="3">
                  <v>148851.78</v>
                </pt>
                <pt idx="4">
                  <v>149240.63</v>
                </pt>
                <pt idx="5">
                  <v>148040.75</v>
                </pt>
                <pt idx="6">
                  <v>146518.68</v>
                </pt>
                <pt idx="7">
                  <v>147651.9</v>
                </pt>
                <pt idx="8">
                  <v>147285.27</v>
                </pt>
                <pt idx="9">
                  <v>149462.83</v>
                </pt>
              </numCache>
            </numRef>
          </val>
          <smooth val="1"/>
        </ser>
        <ser>
          <idx val="4"/>
          <order val="4"/>
          <tx>
            <v>LICMFGOLD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Dashboard!$A$2:$A$16</f>
              <numCache>
                <formatCode>dd\-mmm\-yy</formatCode>
                <ptCount val="15"/>
                <pt idx="0">
                  <v>46272</v>
                </pt>
                <pt idx="1">
                  <v>46273</v>
                </pt>
                <pt idx="2">
                  <v>46274</v>
                </pt>
                <pt idx="3">
                  <v>46275</v>
                </pt>
                <pt idx="4">
                  <v>46276</v>
                </pt>
                <pt idx="5">
                  <v>46280</v>
                </pt>
                <pt idx="6">
                  <v>46281</v>
                </pt>
                <pt idx="7">
                  <v>46282</v>
                </pt>
                <pt idx="8">
                  <v>46283</v>
                </pt>
              </numCache>
            </numRef>
          </cat>
          <val>
            <numRef>
              <f>Dashboard!$K$1:$K$16</f>
              <numCache>
                <formatCode>[$₹-4009]#,##0.00</formatCode>
                <ptCount val="16"/>
                <pt idx="0">
                  <formatCode>General</formatCode>
                  <v>0</v>
                </pt>
                <pt idx="1">
                  <v>100494.3</v>
                </pt>
                <pt idx="2">
                  <v>100567.6</v>
                </pt>
                <pt idx="3">
                  <v>100347.7</v>
                </pt>
                <pt idx="4">
                  <v>100567.6</v>
                </pt>
                <pt idx="5">
                  <v>99907.90000000001</v>
                </pt>
                <pt idx="6">
                  <v>98185.34999999999</v>
                </pt>
                <pt idx="7">
                  <v>99394.8</v>
                </pt>
                <pt idx="8">
                  <v>99174.90000000001</v>
                </pt>
                <pt idx="9">
                  <v>100897.45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date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Date</a:t>
                </a:r>
              </a:p>
            </rich>
          </tx>
          <overlay val="1"/>
        </title>
        <numFmt formatCode="dd\-mmm\-yy" sourceLinked="1"/>
        <majorTickMark val="none"/>
        <minorTickMark val="none"/>
        <tickLblPos val="nextTo"/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Value (₹)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Current Allocation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'Summary Dashboard'!$A$7:$A$11</f>
              <strCache>
                <ptCount val="5"/>
                <pt idx="0">
                  <v>GOLDBETA</v>
                </pt>
                <pt idx="1">
                  <v>HDFCGOLD</v>
                </pt>
                <pt idx="2">
                  <v>GOLDIETF</v>
                </pt>
                <pt idx="3">
                  <v>BSLGOLDETF</v>
                </pt>
                <pt idx="4">
                  <v>LICMFGOLD</v>
                </pt>
              </strCache>
            </strRef>
          </cat>
          <val>
            <numRef>
              <f>'Summary Dashboard'!$C$7:$C$11</f>
              <numCache>
                <formatCode>[$₹-4009]#,##0.00;[Red]\([$₹-4009]#,##0.00\)</formatCode>
                <ptCount val="5"/>
                <pt idx="0">
                  <v>302981.6</v>
                </pt>
                <pt idx="1">
                  <v>252657.76</v>
                </pt>
                <pt idx="2">
                  <v>202511.04</v>
                </pt>
                <pt idx="3">
                  <v>149462.83</v>
                </pt>
                <pt idx="4">
                  <v>100897.45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I4" sqref="I4"/>
    </sheetView>
  </sheetViews>
  <sheetFormatPr baseColWidth="8" defaultRowHeight="14.4"/>
  <cols>
    <col width="16" customWidth="1" style="33" min="1" max="7"/>
    <col width="24.44140625" customWidth="1" style="33" min="9" max="9"/>
    <col width="11.109375" bestFit="1" customWidth="1" style="33" min="10" max="10"/>
    <col width="30" customWidth="1" style="33" min="11" max="11"/>
  </cols>
  <sheetData>
    <row r="1" ht="18" customHeight="1" s="33">
      <c r="A1" s="26" t="inlineStr">
        <is>
          <t>GOLD ETF PORTFOLIO DASHBOARD</t>
        </is>
      </c>
      <c r="J1" s="25" t="inlineStr">
        <is>
          <t>AUTOMATION &amp; SOURCES</t>
        </is>
      </c>
    </row>
    <row r="2">
      <c r="J2" s="14" t="inlineStr">
        <is>
          <t>Automation</t>
        </is>
      </c>
      <c r="K2" t="inlineStr">
        <is>
          <t>Daily price pull + formula update</t>
        </is>
      </c>
    </row>
    <row r="3">
      <c r="A3" s="27" t="inlineStr">
        <is>
          <t>Latest Trading Date</t>
        </is>
      </c>
      <c r="C3" s="27" t="inlineStr">
        <is>
          <t>Portfolio Value</t>
        </is>
      </c>
      <c r="E3" s="27" t="inlineStr">
        <is>
          <t>1-Day Change</t>
        </is>
      </c>
      <c r="G3" s="27" t="inlineStr">
        <is>
          <t>Change vs First Day</t>
        </is>
      </c>
      <c r="I3" s="32" t="inlineStr">
        <is>
          <t>Physical Gold (10g)</t>
        </is>
      </c>
      <c r="K3" t="inlineStr">
        <is>
          <t>Yahoo Finance / yfinance</t>
        </is>
      </c>
    </row>
    <row r="4">
      <c r="A4" s="21">
        <f>LOOKUP(2,1/(Dashboard!A:A&lt;&gt;""),Dashboard!A:A)</f>
        <v/>
      </c>
      <c r="C4" s="24">
        <f>LOOKUP(2,1/(Dashboard!C:C&lt;&gt;""),Dashboard!C:C)+LOOKUP(2,1/(Dashboard!E:E&lt;&gt;""),Dashboard!E:E)+LOOKUP(2,1/(Dashboard!G:G&lt;&gt;""),Dashboard!G:G)+LOOKUP(2,1/(Dashboard!I:I&lt;&gt;""),Dashboard!I:I)+LOOKUP(2,1/(Dashboard!K:K&lt;&gt;""),Dashboard!K:K)</f>
        <v/>
      </c>
      <c r="E4" s="24">
        <f>C4 - (INDEX(Dashboard!C:C, MATCH(9.99E+307,Dashboard!C:C)-1)+INDEX(Dashboard!E:E, MATCH(9.99E+307,Dashboard!E:E)-1)+INDEX(Dashboard!G:G, MATCH(9.99E+307,Dashboard!G:G)-1)+INDEX(Dashboard!I:I, MATCH(9.99E+307,Dashboard!I:I)-1)+INDEX(Dashboard!K:K, MATCH(9.99E+307,Dashboard!K:K)-1))</f>
        <v/>
      </c>
      <c r="G4" s="23">
        <f>C4 - (Dashboard!C2+Dashboard!E2+Dashboard!G2+Dashboard!I2+Dashboard!K2)</f>
        <v/>
      </c>
      <c r="I4" s="34">
        <f>LOOKUP(2,1/(Dashboard!L:L&lt;&gt;""),Dashboard!L:L)</f>
        <v/>
      </c>
      <c r="K4" t="inlineStr">
        <is>
          <t>GOLDBETA 2356 | HDFCGOLD 1934 | GOLDIETF 1544 | BSLGOLDETF 1111 | LICMFGOLD 733</t>
        </is>
      </c>
    </row>
    <row r="6">
      <c r="A6" s="11" t="inlineStr">
        <is>
          <t>ETF</t>
        </is>
      </c>
      <c r="B6" s="11" t="inlineStr">
        <is>
          <t>Latest Price</t>
        </is>
      </c>
      <c r="C6" s="11" t="inlineStr">
        <is>
          <t>Holding Value</t>
        </is>
      </c>
      <c r="D6" s="11" t="inlineStr">
        <is>
          <t>Weight %</t>
        </is>
      </c>
      <c r="E6" s="11" t="inlineStr">
        <is>
          <t>1D Change</t>
        </is>
      </c>
      <c r="F6" s="11" t="inlineStr">
        <is>
          <t>1D Change %</t>
        </is>
      </c>
      <c r="G6" s="15" t="inlineStr">
        <is>
          <t>NAV Change</t>
        </is>
      </c>
    </row>
    <row r="7">
      <c r="A7" t="inlineStr">
        <is>
          <t>GOLDBETA</t>
        </is>
      </c>
      <c r="B7" s="16">
        <f>LOOKUP(2,1/(Dashboard!B:B&lt;&gt;""),Dashboard!B:B)</f>
        <v/>
      </c>
      <c r="C7" s="16">
        <f>LOOKUP(2,1/(Dashboard!C:C&lt;&gt;""),Dashboard!C:C)</f>
        <v/>
      </c>
      <c r="D7" s="17">
        <f>C7/C$4</f>
        <v/>
      </c>
      <c r="E7" s="16">
        <f>C7 - INDEX(Dashboard!C:C, MATCH(9.99E+307,Dashboard!C:C)-1)</f>
        <v/>
      </c>
      <c r="F7" s="17">
        <f>E7 / INDEX(Dashboard!C:C, MATCH(9.99E+307,Dashboard!C:C)-1)</f>
        <v/>
      </c>
      <c r="G7" s="16">
        <f>LOOKUP(2,1/(GOLDBETA!D:D&lt;&gt;""),GOLDBETA!D:D) - INDEX(GOLDBETA!D:D, MATCH(9.99E+307,GOLDBETA!D:D)-1)</f>
        <v/>
      </c>
    </row>
    <row r="8">
      <c r="A8" t="inlineStr">
        <is>
          <t>HDFCGOLD</t>
        </is>
      </c>
      <c r="B8" s="16">
        <f>LOOKUP(2,1/(Dashboard!D:D&lt;&gt;""),Dashboard!D:D)</f>
        <v/>
      </c>
      <c r="C8" s="16">
        <f>LOOKUP(2,1/(Dashboard!E:E&lt;&gt;""),Dashboard!E:E)</f>
        <v/>
      </c>
      <c r="D8" s="17">
        <f>C8/C$4</f>
        <v/>
      </c>
      <c r="E8" s="16">
        <f>C8 - INDEX(Dashboard!E:E, MATCH(9.99E+307,Dashboard!E:E)-1)</f>
        <v/>
      </c>
      <c r="F8" s="17">
        <f>E8 / INDEX(Dashboard!E:E, MATCH(9.99E+307,Dashboard!E:E)-1)</f>
        <v/>
      </c>
      <c r="G8" s="16">
        <f>LOOKUP(2,1/(HDFCGOLD!D:D&lt;&gt;""),HDFCGOLD!D:D) - INDEX(HDFCGOLD!D:D, MATCH(9.99E+307,HDFCGOLD!D:D)-1)</f>
        <v/>
      </c>
    </row>
    <row r="9">
      <c r="A9" t="inlineStr">
        <is>
          <t>GOLDIETF</t>
        </is>
      </c>
      <c r="B9" s="16">
        <f>LOOKUP(2,1/(Dashboard!F:F&lt;&gt;""),Dashboard!F:F)</f>
        <v/>
      </c>
      <c r="C9" s="16">
        <f>LOOKUP(2,1/(Dashboard!G:G&lt;&gt;""),Dashboard!G:G)</f>
        <v/>
      </c>
      <c r="D9" s="17">
        <f>C9/C$4</f>
        <v/>
      </c>
      <c r="E9" s="16">
        <f>C9 - INDEX(Dashboard!G:G, MATCH(9.99E+307,Dashboard!G:G)-1)</f>
        <v/>
      </c>
      <c r="F9" s="17">
        <f>E9 / INDEX(Dashboard!G:G, MATCH(9.99E+307,Dashboard!G:G)-1)</f>
        <v/>
      </c>
      <c r="G9" s="16">
        <f>LOOKUP(2,1/(GOLDIETF!D:D&lt;&gt;""),GOLDIETF!D:D) - INDEX(GOLDIETF!D:D, MATCH(9.99E+307,GOLDIETF!D:D)-1)</f>
        <v/>
      </c>
    </row>
    <row r="10">
      <c r="A10" t="inlineStr">
        <is>
          <t>BSLGOLDETF</t>
        </is>
      </c>
      <c r="B10" s="16">
        <f>LOOKUP(2,1/(Dashboard!H:H&lt;&gt;""),Dashboard!H:H)</f>
        <v/>
      </c>
      <c r="C10" s="16">
        <f>LOOKUP(2,1/(Dashboard!I:I&lt;&gt;""),Dashboard!I:I)</f>
        <v/>
      </c>
      <c r="D10" s="17">
        <f>C10/C$4</f>
        <v/>
      </c>
      <c r="E10" s="16">
        <f>C10 - INDEX(Dashboard!I:I, MATCH(9.99E+307,Dashboard!I:I)-1)</f>
        <v/>
      </c>
      <c r="F10" s="17">
        <f>E10 / INDEX(Dashboard!I:I, MATCH(9.99E+307,Dashboard!I:I)-1)</f>
        <v/>
      </c>
      <c r="G10" s="16">
        <f>LOOKUP(2,1/(BSLGOLDETF!D:D&lt;&gt;""),BSLGOLDETF!D:D) - INDEX(BSLGOLDETF!D:D, MATCH(9.99E+307,BSLGOLDETF!D:D)-1)</f>
        <v/>
      </c>
    </row>
    <row r="11">
      <c r="A11" t="inlineStr">
        <is>
          <t>LICMFGOLD</t>
        </is>
      </c>
      <c r="B11" s="16">
        <f>LOOKUP(2,1/(Dashboard!J:J&lt;&gt;""),Dashboard!J:J)</f>
        <v/>
      </c>
      <c r="C11" s="16">
        <f>LOOKUP(2,1/(Dashboard!K:K&lt;&gt;""),Dashboard!K:K)</f>
        <v/>
      </c>
      <c r="D11" s="17">
        <f>C11/C$4</f>
        <v/>
      </c>
      <c r="E11" s="16">
        <f>C11 - INDEX(Dashboard!K:K, MATCH(9.99E+307,Dashboard!K:K)-1)</f>
        <v/>
      </c>
      <c r="F11" s="17">
        <f>E11 / INDEX(Dashboard!K:K, MATCH(9.99E+307,Dashboard!K:K)-1)</f>
        <v/>
      </c>
      <c r="G11" s="16">
        <f>LOOKUP(2,1/(LICMFGOLD!D:D&lt;&gt;""),LICMFGOLD!D:D) - INDEX(LICMFGOLD!D:D, MATCH(9.99E+307,LICMFGOLD!D:D)-1)</f>
        <v/>
      </c>
    </row>
    <row r="12">
      <c r="A12" s="14" t="inlineStr">
        <is>
          <t>TOTAL</t>
        </is>
      </c>
      <c r="B12" s="16" t="n"/>
      <c r="C12" s="18">
        <f>SUM(C7:C11)</f>
        <v/>
      </c>
      <c r="D12" s="19" t="n">
        <v>1</v>
      </c>
      <c r="E12" s="18">
        <f>SUM(E7:E11)</f>
        <v/>
      </c>
      <c r="F12" s="19">
        <f>E12 / (C12 - E12)</f>
        <v/>
      </c>
    </row>
  </sheetData>
  <mergeCells count="10">
    <mergeCell ref="A4:B4"/>
    <mergeCell ref="G4:H4"/>
    <mergeCell ref="E4:F4"/>
    <mergeCell ref="J1:K1"/>
    <mergeCell ref="A1:H1"/>
    <mergeCell ref="C3:D3"/>
    <mergeCell ref="A3:B3"/>
    <mergeCell ref="G3:H3"/>
    <mergeCell ref="E3:F3"/>
    <mergeCell ref="C4:D4"/>
  </mergeCells>
  <conditionalFormatting sqref="D7:D11">
    <cfRule type="dataBar" priority="1">
      <dataBar>
        <cfvo type="min"/>
        <cfvo type="max"/>
        <color rgb="FF4F81BD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4.4"/>
  <cols>
    <col width="18" customWidth="1" style="33" min="1" max="11"/>
    <col width="22" customWidth="1" style="33" min="12" max="12"/>
  </cols>
  <sheetData>
    <row r="1">
      <c r="A1" s="11" t="inlineStr">
        <is>
          <t>Date</t>
        </is>
      </c>
      <c r="B1" s="11" t="inlineStr">
        <is>
          <t>GOLDBETA Close</t>
        </is>
      </c>
      <c r="C1" s="11" t="inlineStr">
        <is>
          <t>GOLDBETA Value</t>
        </is>
      </c>
      <c r="D1" s="11" t="inlineStr">
        <is>
          <t>HDFCGOLD Close</t>
        </is>
      </c>
      <c r="E1" s="11" t="inlineStr">
        <is>
          <t>HDFCGOLD Value</t>
        </is>
      </c>
      <c r="F1" s="11" t="inlineStr">
        <is>
          <t>GOLDIETF Close</t>
        </is>
      </c>
      <c r="G1" s="11" t="inlineStr">
        <is>
          <t>GOLDIETF Value</t>
        </is>
      </c>
      <c r="H1" s="11" t="inlineStr">
        <is>
          <t>BSLGOLDETF Close</t>
        </is>
      </c>
      <c r="I1" s="11" t="inlineStr">
        <is>
          <t>BSLGOLDETF Value</t>
        </is>
      </c>
      <c r="J1" s="11" t="inlineStr">
        <is>
          <t>LICMFGOLD Close</t>
        </is>
      </c>
      <c r="K1" s="11" t="inlineStr">
        <is>
          <t>LICMFGOLD Value</t>
        </is>
      </c>
      <c r="L1" s="20" t="inlineStr">
        <is>
          <t>Physical Gold (10g) ₹</t>
        </is>
      </c>
    </row>
    <row r="2">
      <c r="A2" s="12" t="n">
        <v>46272</v>
      </c>
      <c r="B2" s="13" t="n">
        <v>128</v>
      </c>
      <c r="C2" s="13" t="n">
        <v>301568</v>
      </c>
      <c r="D2" s="13" t="n">
        <v>129.88</v>
      </c>
      <c r="E2" s="13" t="n">
        <v>251187.92</v>
      </c>
      <c r="F2" s="13" t="n">
        <v>130.01</v>
      </c>
      <c r="G2" s="13" t="n">
        <v>200735.44</v>
      </c>
      <c r="H2" s="13" t="n">
        <v>133.82</v>
      </c>
      <c r="I2" s="13" t="n">
        <v>148674.02</v>
      </c>
      <c r="J2" s="13" t="n">
        <v>137.1</v>
      </c>
      <c r="K2" s="13" t="n">
        <v>100494.3</v>
      </c>
      <c r="L2" s="13" t="n">
        <v>160985.1388548833</v>
      </c>
    </row>
    <row r="3">
      <c r="A3" s="12" t="n">
        <v>46273</v>
      </c>
      <c r="B3" s="13" t="n">
        <v>128.15</v>
      </c>
      <c r="C3" s="13" t="n">
        <v>301921.4</v>
      </c>
      <c r="D3" s="13" t="n">
        <v>130.18</v>
      </c>
      <c r="E3" s="13" t="n">
        <v>251768.12</v>
      </c>
      <c r="F3" s="13" t="n">
        <v>130.38</v>
      </c>
      <c r="G3" s="13" t="n">
        <v>201306.72</v>
      </c>
      <c r="H3" s="13" t="n">
        <v>133.97</v>
      </c>
      <c r="I3" s="13" t="n">
        <v>148840.67</v>
      </c>
      <c r="J3" s="13" t="n">
        <v>137.2</v>
      </c>
      <c r="K3" s="13" t="n">
        <v>100567.6</v>
      </c>
      <c r="L3" s="13" t="n">
        <v>159737.1173237829</v>
      </c>
    </row>
    <row r="4">
      <c r="A4" s="12" t="n">
        <v>46274</v>
      </c>
      <c r="B4" s="13" t="n">
        <v>128.25</v>
      </c>
      <c r="C4" s="13" t="n">
        <v>302157</v>
      </c>
      <c r="D4" s="13" t="n">
        <v>130.06</v>
      </c>
      <c r="E4" s="13" t="n">
        <v>251536.04</v>
      </c>
      <c r="F4" s="13" t="n">
        <v>130.37</v>
      </c>
      <c r="G4" s="13" t="n">
        <v>201291.28</v>
      </c>
      <c r="H4" s="13" t="n">
        <v>133.98</v>
      </c>
      <c r="I4" s="13" t="n">
        <v>148851.78</v>
      </c>
      <c r="J4" s="13" t="n">
        <v>136.9</v>
      </c>
      <c r="K4" s="13" t="n">
        <v>100347.7</v>
      </c>
      <c r="L4" s="13" t="n">
        <v>161080.4539117644</v>
      </c>
    </row>
    <row r="5">
      <c r="A5" s="12" t="n">
        <v>46275</v>
      </c>
      <c r="B5" s="13" t="n">
        <v>128.5</v>
      </c>
      <c r="C5" s="13" t="n">
        <v>302746</v>
      </c>
      <c r="D5" s="13" t="n">
        <v>130.49</v>
      </c>
      <c r="E5" s="13" t="n">
        <v>252367.66</v>
      </c>
      <c r="F5" s="13" t="n">
        <v>130.75</v>
      </c>
      <c r="G5" s="13" t="n">
        <v>201878</v>
      </c>
      <c r="H5" s="13" t="n">
        <v>134.33</v>
      </c>
      <c r="I5" s="13" t="n">
        <v>149240.63</v>
      </c>
      <c r="J5" s="13" t="n">
        <v>137.2</v>
      </c>
      <c r="K5" s="13" t="n">
        <v>100567.6</v>
      </c>
      <c r="L5" s="13" t="n">
        <v>159636.8418511324</v>
      </c>
    </row>
    <row r="6">
      <c r="A6" s="12" t="n">
        <v>46276</v>
      </c>
      <c r="B6" s="13" t="n">
        <v>127.5</v>
      </c>
      <c r="C6" s="13" t="n">
        <v>300390</v>
      </c>
      <c r="D6" s="13" t="n">
        <v>129.37</v>
      </c>
      <c r="E6" s="13" t="n">
        <v>250201.58</v>
      </c>
      <c r="F6" s="13" t="n">
        <v>129.63</v>
      </c>
      <c r="G6" s="13" t="n">
        <v>200148.72</v>
      </c>
      <c r="H6" s="13" t="n">
        <v>133.25</v>
      </c>
      <c r="I6" s="13" t="n">
        <v>148040.75</v>
      </c>
      <c r="J6" s="13" t="n">
        <v>136.3</v>
      </c>
      <c r="K6" s="13" t="n">
        <v>99907.90000000001</v>
      </c>
      <c r="L6" s="13" t="n">
        <v>160673.1695013132</v>
      </c>
    </row>
    <row r="7">
      <c r="A7" s="12" t="n">
        <v>46280</v>
      </c>
      <c r="B7" s="13" t="n">
        <v>126.05</v>
      </c>
      <c r="C7" s="13" t="n">
        <v>296973.8</v>
      </c>
      <c r="D7" s="13" t="n">
        <v>127.88</v>
      </c>
      <c r="E7" s="13" t="n">
        <v>247319.92</v>
      </c>
      <c r="F7" s="13" t="n">
        <v>127.94</v>
      </c>
      <c r="G7" s="13" t="n">
        <v>197539.36</v>
      </c>
      <c r="H7" s="13" t="n">
        <v>131.88</v>
      </c>
      <c r="I7" s="13" t="n">
        <v>146518.68</v>
      </c>
      <c r="J7" s="13" t="n">
        <v>133.95</v>
      </c>
      <c r="K7" s="13" t="n">
        <v>98185.34999999999</v>
      </c>
      <c r="L7" s="13" t="n">
        <v>158132.3502433485</v>
      </c>
    </row>
    <row r="8">
      <c r="A8" s="12" t="n">
        <v>46281</v>
      </c>
      <c r="B8" s="13" t="n">
        <v>127.15</v>
      </c>
      <c r="C8" s="13" t="n">
        <v>299565.4</v>
      </c>
      <c r="D8" s="13" t="n">
        <v>129.11</v>
      </c>
      <c r="E8" s="13" t="n">
        <v>249698.74</v>
      </c>
      <c r="F8" s="13" t="n">
        <v>129.44</v>
      </c>
      <c r="G8" s="13" t="n">
        <v>199855.36</v>
      </c>
      <c r="H8" s="13" t="n">
        <v>132.9</v>
      </c>
      <c r="I8" s="13" t="n">
        <v>147651.9</v>
      </c>
      <c r="J8" s="13" t="n">
        <v>135.6</v>
      </c>
      <c r="K8" s="13" t="n">
        <v>99394.8</v>
      </c>
      <c r="L8" s="13" t="n">
        <v>160391.5402250721</v>
      </c>
    </row>
    <row r="9">
      <c r="A9" s="12" t="n">
        <v>46282</v>
      </c>
      <c r="B9" s="13" t="n">
        <v>126.85</v>
      </c>
      <c r="C9" s="13" t="n">
        <v>298858.6</v>
      </c>
      <c r="D9" s="13" t="n">
        <v>128.68</v>
      </c>
      <c r="E9" s="13" t="n">
        <v>248867.12</v>
      </c>
      <c r="F9" s="13" t="n">
        <v>128.97</v>
      </c>
      <c r="G9" s="13" t="n">
        <v>199129.68</v>
      </c>
      <c r="H9" s="13" t="n">
        <v>132.57</v>
      </c>
      <c r="I9" s="13" t="n">
        <v>147285.27</v>
      </c>
      <c r="J9" s="13" t="n">
        <v>135.3</v>
      </c>
      <c r="K9" s="13" t="n">
        <v>99174.90000000001</v>
      </c>
      <c r="L9" s="13" t="n">
        <v>161071.4432096385</v>
      </c>
    </row>
    <row r="10">
      <c r="A10" s="12" t="n">
        <v>46283</v>
      </c>
      <c r="B10" s="13" t="n">
        <v>128.6</v>
      </c>
      <c r="C10" s="13" t="n">
        <v>302981.6</v>
      </c>
      <c r="D10" s="13" t="n">
        <v>130.64</v>
      </c>
      <c r="E10" s="13" t="n">
        <v>252657.76</v>
      </c>
      <c r="F10" s="13" t="n">
        <v>131.16</v>
      </c>
      <c r="G10" s="13" t="n">
        <v>202511.04</v>
      </c>
      <c r="H10" s="13" t="n">
        <v>134.53</v>
      </c>
      <c r="I10" s="13" t="n">
        <v>149462.83</v>
      </c>
      <c r="J10" s="13" t="n">
        <v>137.65</v>
      </c>
      <c r="K10" s="13" t="n">
        <v>100897.45</v>
      </c>
      <c r="L10" s="13" t="n">
        <v>161432.684648998</v>
      </c>
    </row>
    <row r="11">
      <c r="A11" s="38" t="n">
        <v>46286</v>
      </c>
      <c r="B11" s="39" t="n">
        <v>127.9</v>
      </c>
      <c r="C11" s="39" t="n">
        <v>301332.4</v>
      </c>
      <c r="D11" s="39" t="n">
        <v>129.83</v>
      </c>
      <c r="E11" s="39" t="n">
        <v>251091.22</v>
      </c>
      <c r="F11" s="39" t="n">
        <v>130.01</v>
      </c>
      <c r="G11" s="39" t="n">
        <v>200735.44</v>
      </c>
      <c r="H11" s="39" t="n">
        <v>133.72</v>
      </c>
      <c r="I11" s="39" t="n">
        <v>148562.92</v>
      </c>
      <c r="J11" s="39" t="n">
        <v>137.1</v>
      </c>
      <c r="K11" s="39" t="n">
        <v>100494.3</v>
      </c>
      <c r="L11" s="39" t="n">
        <v>160141.0003503818</v>
      </c>
    </row>
    <row r="12">
      <c r="A12" s="38" t="n">
        <v>46287</v>
      </c>
      <c r="B12" s="39" t="n">
        <v>127.25</v>
      </c>
      <c r="C12" s="39" t="n">
        <v>299801</v>
      </c>
      <c r="D12" s="39" t="n">
        <v>129.26</v>
      </c>
      <c r="E12" s="39" t="n">
        <v>249988.84</v>
      </c>
      <c r="F12" s="39" t="n">
        <v>129.42</v>
      </c>
      <c r="G12" s="39" t="n">
        <v>199824.48</v>
      </c>
      <c r="H12" s="39" t="n">
        <v>133.06</v>
      </c>
      <c r="I12" s="39" t="n">
        <v>147829.66</v>
      </c>
      <c r="J12" s="39" t="n">
        <v>135.8</v>
      </c>
      <c r="K12" s="39" t="n">
        <v>99541.40000000001</v>
      </c>
      <c r="L12" s="39" t="n">
        <v>159370.7392300716</v>
      </c>
    </row>
    <row r="13">
      <c r="A13" s="38" t="n">
        <v>46288</v>
      </c>
      <c r="B13" s="39" t="n">
        <v>127.1</v>
      </c>
      <c r="C13" s="39" t="n">
        <v>299447.6</v>
      </c>
      <c r="D13" s="39" t="n">
        <v>128.94</v>
      </c>
      <c r="E13" s="39" t="n">
        <v>249369.96</v>
      </c>
      <c r="F13" s="39" t="n">
        <v>129.21</v>
      </c>
      <c r="G13" s="39" t="n">
        <v>199500.24</v>
      </c>
      <c r="H13" s="39" t="n">
        <v>132.9</v>
      </c>
      <c r="I13" s="39" t="n">
        <v>147651.9</v>
      </c>
      <c r="J13" s="39" t="n">
        <v>135.9</v>
      </c>
      <c r="K13" s="39" t="n">
        <v>99614.7</v>
      </c>
      <c r="L13" s="39" t="n">
        <v>158230.1488120125</v>
      </c>
    </row>
    <row r="14">
      <c r="A14" s="38" t="n">
        <v>46289</v>
      </c>
      <c r="B14" s="39" t="n">
        <v>125.8</v>
      </c>
      <c r="C14" s="39" t="n">
        <v>296384.8</v>
      </c>
      <c r="D14" s="39" t="n">
        <v>127.64</v>
      </c>
      <c r="E14" s="39" t="n">
        <v>246855.76</v>
      </c>
      <c r="F14" s="39" t="n">
        <v>127.88</v>
      </c>
      <c r="G14" s="39" t="n">
        <v>197446.72</v>
      </c>
      <c r="H14" s="39" t="n">
        <v>131.48</v>
      </c>
      <c r="I14" s="39" t="n">
        <v>146074.28</v>
      </c>
      <c r="J14" s="39" t="n">
        <v>134.5</v>
      </c>
      <c r="K14" s="39" t="n">
        <v>98588.5</v>
      </c>
      <c r="L14" s="39" t="n">
        <v>157213.399658606</v>
      </c>
    </row>
    <row r="15">
      <c r="A15" s="38" t="n">
        <v>46290</v>
      </c>
      <c r="B15" s="39" t="n">
        <v>126.65</v>
      </c>
      <c r="C15" s="39" t="n">
        <v>298387.4</v>
      </c>
      <c r="D15" s="39" t="n">
        <v>128.63</v>
      </c>
      <c r="E15" s="39" t="n">
        <v>248770.42</v>
      </c>
      <c r="F15" s="39" t="n">
        <v>129.03</v>
      </c>
      <c r="G15" s="39" t="n">
        <v>199222.32</v>
      </c>
      <c r="H15" s="39" t="n">
        <v>132.4</v>
      </c>
      <c r="I15" s="39" t="n">
        <v>147096.4</v>
      </c>
      <c r="J15" s="39" t="n">
        <v>135.7</v>
      </c>
      <c r="K15" s="39" t="n">
        <v>99468.09999999999</v>
      </c>
      <c r="L15" s="39" t="n">
        <v>158193.0829504164</v>
      </c>
    </row>
  </sheetData>
  <conditionalFormatting sqref="C2:C16">
    <cfRule type="dataBar" priority="1">
      <dataBar>
        <cfvo type="min"/>
        <cfvo type="max"/>
        <color rgb="FF4F81BD"/>
      </dataBar>
    </cfRule>
  </conditionalFormatting>
  <conditionalFormatting sqref="E2:E16">
    <cfRule type="dataBar" priority="2">
      <dataBar>
        <cfvo type="min"/>
        <cfvo type="max"/>
        <color rgb="FF4F81BD"/>
      </dataBar>
    </cfRule>
  </conditionalFormatting>
  <conditionalFormatting sqref="G2:G16">
    <cfRule type="dataBar" priority="3">
      <dataBar>
        <cfvo type="min"/>
        <cfvo type="max"/>
        <color rgb="FF4F81BD"/>
      </dataBar>
    </cfRule>
  </conditionalFormatting>
  <conditionalFormatting sqref="I2:I16">
    <cfRule type="dataBar" priority="4">
      <dataBar>
        <cfvo type="min"/>
        <cfvo type="max"/>
        <color rgb="FF4F81BD"/>
      </dataBar>
    </cfRule>
  </conditionalFormatting>
  <conditionalFormatting sqref="K2:K16">
    <cfRule type="dataBar" priority="5">
      <dataBar>
        <cfvo type="min"/>
        <cfvo type="max"/>
        <color rgb="FF4F81BD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0" topLeftCell="A11" activePane="bottomLeft" state="frozen"/>
      <selection pane="bottomLeft" activeCell="A1" sqref="A1:L1"/>
    </sheetView>
  </sheetViews>
  <sheetFormatPr baseColWidth="8" defaultRowHeight="14.4"/>
  <cols>
    <col width="15" customWidth="1" style="33" min="1" max="1"/>
    <col width="18" customWidth="1" style="33" min="2" max="3"/>
    <col width="14" customWidth="1" style="33" min="4" max="4"/>
    <col width="28" customWidth="1" style="33" min="5" max="5"/>
    <col width="17" customWidth="1" style="33" min="6" max="6"/>
    <col width="15" customWidth="1" style="33" min="7" max="7"/>
    <col width="20" customWidth="1" style="33" min="8" max="9"/>
    <col width="18" customWidth="1" style="33" min="10" max="10"/>
    <col width="30" customWidth="1" style="33" min="11" max="12"/>
  </cols>
  <sheetData>
    <row r="1" ht="24" customHeight="1" s="33">
      <c r="A1" s="30" t="inlineStr">
        <is>
          <t>UTI Gold Exchange Traded Fund (GOLDBETA.NS) — Daily Tracker</t>
        </is>
      </c>
    </row>
    <row r="3">
      <c r="A3" s="1" t="inlineStr">
        <is>
          <t>Fund</t>
        </is>
      </c>
      <c r="B3" s="3" t="inlineStr">
        <is>
          <t>UTI Gold Exchange Traded Fund</t>
        </is>
      </c>
      <c r="D3" s="1" t="inlineStr">
        <is>
          <t>Notes</t>
        </is>
      </c>
      <c r="E3" s="28" t="inlineStr">
        <is>
          <t>Daily NAV values updated from the user-supplied UTI Mutual Fund / AMFI extract: ₹127.3391 on 07-Sep-2026 through ₹128.2152 on 18-Sep-2026. Market close source: Yahoo Finance. TD values were not reliably reported.</t>
        </is>
      </c>
    </row>
    <row r="4">
      <c r="A4" s="1" t="inlineStr">
        <is>
          <t>Yahoo symbol</t>
        </is>
      </c>
      <c r="B4" s="3" t="inlineStr">
        <is>
          <t>GOLDBETA.NS</t>
        </is>
      </c>
    </row>
    <row r="5">
      <c r="A5" s="1" t="inlineStr">
        <is>
          <t>TER (periodic)</t>
        </is>
      </c>
      <c r="B5" s="4" t="n">
        <v>0.0059</v>
      </c>
    </row>
    <row r="6">
      <c r="A6" s="1" t="inlineStr">
        <is>
          <t>TER as of</t>
        </is>
      </c>
      <c r="B6" s="3" t="inlineStr">
        <is>
          <t>2026-09-18</t>
        </is>
      </c>
    </row>
    <row r="7">
      <c r="A7" s="1" t="inlineStr">
        <is>
          <t>TD 1Y (periodic)</t>
        </is>
      </c>
      <c r="B7" s="4" t="n"/>
    </row>
    <row r="8">
      <c r="A8" s="1" t="inlineStr">
        <is>
          <t>TD 3Y (periodic)</t>
        </is>
      </c>
      <c r="B8" s="4" t="inlineStr">
        <is>
          <t>Daily public series available (UTI/AMFI extract supplied by user)</t>
        </is>
      </c>
      <c r="E8" s="29" t="n"/>
      <c r="F8" s="29" t="n"/>
      <c r="G8" s="29" t="n"/>
      <c r="H8" s="29" t="n"/>
      <c r="I8" s="29" t="n"/>
      <c r="J8" s="29" t="n"/>
      <c r="K8" s="29" t="n"/>
      <c r="L8" s="29" t="n"/>
    </row>
    <row r="9">
      <c r="A9" s="1" t="inlineStr">
        <is>
          <t>TD as of</t>
        </is>
      </c>
      <c r="B9" s="3" t="inlineStr">
        <is>
          <t>Not publicly reported</t>
        </is>
      </c>
    </row>
    <row r="10" ht="42" customHeight="1" s="33">
      <c r="A10" s="5" t="inlineStr">
        <is>
          <t>Date</t>
        </is>
      </c>
      <c r="B10" s="5" t="inlineStr">
        <is>
          <t>Day</t>
        </is>
      </c>
      <c r="C10" s="5" t="inlineStr">
        <is>
          <t>Market Close (₹)</t>
        </is>
      </c>
      <c r="D10" s="5" t="inlineStr">
        <is>
          <t>NAV (₹)</t>
        </is>
      </c>
      <c r="E10" s="5" t="inlineStr">
        <is>
          <t>Premium/(Discount) to NAV %</t>
        </is>
      </c>
      <c r="F10" s="5" t="inlineStr">
        <is>
          <t>TER % (periodic)</t>
        </is>
      </c>
      <c r="G10" s="5" t="inlineStr">
        <is>
          <t>TER As Of</t>
        </is>
      </c>
      <c r="H10" s="5" t="inlineStr">
        <is>
          <t>TD 1Y % (periodic)</t>
        </is>
      </c>
      <c r="I10" s="5" t="inlineStr">
        <is>
          <t>TD 3Y % (periodic)</t>
        </is>
      </c>
      <c r="J10" s="5" t="inlineStr">
        <is>
          <t>TD As Of</t>
        </is>
      </c>
      <c r="K10" s="5" t="inlineStr">
        <is>
          <t>Market Data Status</t>
        </is>
      </c>
      <c r="L10" s="5" t="inlineStr">
        <is>
          <t>NAV Data Status</t>
        </is>
      </c>
    </row>
    <row r="11">
      <c r="A11" s="6" t="n">
        <v>46272</v>
      </c>
      <c r="B11" s="7" t="inlineStr">
        <is>
          <t>Mon</t>
        </is>
      </c>
      <c r="C11" s="8" t="n">
        <v>128</v>
      </c>
      <c r="D11" s="8" t="n">
        <v>127.3391</v>
      </c>
      <c r="E11" s="9">
        <f>IFERROR(C11/D11-1,"")</f>
        <v/>
      </c>
      <c r="F11" s="9" t="n">
        <v>0.0059</v>
      </c>
      <c r="G11" s="7" t="inlineStr">
        <is>
          <t>2026-09-18</t>
        </is>
      </c>
      <c r="H11" s="9" t="n"/>
      <c r="I11" s="9" t="n"/>
      <c r="J11" s="7" t="inlineStr">
        <is>
          <t>Not publicly reported</t>
        </is>
      </c>
      <c r="K11" s="2" t="inlineStr">
        <is>
          <t>Available</t>
        </is>
      </c>
      <c r="L11" s="2" t="inlineStr">
        <is>
          <t>Available</t>
        </is>
      </c>
    </row>
    <row r="12">
      <c r="A12" s="6" t="n">
        <v>46273</v>
      </c>
      <c r="B12" s="7" t="inlineStr">
        <is>
          <t>Tue</t>
        </is>
      </c>
      <c r="C12" s="8" t="n">
        <v>128.15</v>
      </c>
      <c r="D12" s="8" t="n">
        <v>127.6657</v>
      </c>
      <c r="E12" s="9">
        <f>IFERROR(C12/D12-1,"")</f>
        <v/>
      </c>
      <c r="F12" s="9" t="n">
        <v>0.0059</v>
      </c>
      <c r="G12" s="7" t="inlineStr">
        <is>
          <t>2026-09-18</t>
        </is>
      </c>
      <c r="H12" s="9" t="n"/>
      <c r="I12" s="9" t="n"/>
      <c r="J12" s="7" t="inlineStr">
        <is>
          <t>Not publicly reported</t>
        </is>
      </c>
      <c r="K12" s="2" t="inlineStr">
        <is>
          <t>Available</t>
        </is>
      </c>
      <c r="L12" s="2" t="inlineStr">
        <is>
          <t>Available</t>
        </is>
      </c>
    </row>
    <row r="13">
      <c r="A13" s="6" t="n">
        <v>46274</v>
      </c>
      <c r="B13" s="7" t="inlineStr">
        <is>
          <t>Wed</t>
        </is>
      </c>
      <c r="C13" s="8" t="n">
        <v>128.25</v>
      </c>
      <c r="D13" s="8" t="n">
        <v>127.8929</v>
      </c>
      <c r="E13" s="9">
        <f>IFERROR(C13/D13-1,"")</f>
        <v/>
      </c>
      <c r="F13" s="9" t="n">
        <v>0.0059</v>
      </c>
      <c r="G13" s="7" t="inlineStr">
        <is>
          <t>2026-09-18</t>
        </is>
      </c>
      <c r="H13" s="9" t="n"/>
      <c r="I13" s="9" t="n"/>
      <c r="J13" s="7" t="inlineStr">
        <is>
          <t>Not publicly reported</t>
        </is>
      </c>
      <c r="K13" s="2" t="inlineStr">
        <is>
          <t>Available</t>
        </is>
      </c>
      <c r="L13" s="2" t="inlineStr">
        <is>
          <t>Available</t>
        </is>
      </c>
    </row>
    <row r="14">
      <c r="A14" s="6" t="n">
        <v>46275</v>
      </c>
      <c r="B14" s="7" t="inlineStr">
        <is>
          <t>Thu</t>
        </is>
      </c>
      <c r="C14" s="8" t="n">
        <v>128.5</v>
      </c>
      <c r="D14" s="8" t="n">
        <v>127.8838</v>
      </c>
      <c r="E14" s="9">
        <f>IFERROR(C14/D14-1,"")</f>
        <v/>
      </c>
      <c r="F14" s="9" t="n">
        <v>0.0059</v>
      </c>
      <c r="G14" s="7" t="inlineStr">
        <is>
          <t>2026-09-18</t>
        </is>
      </c>
      <c r="H14" s="9" t="n"/>
      <c r="I14" s="9" t="n"/>
      <c r="J14" s="7" t="inlineStr">
        <is>
          <t>Not publicly reported</t>
        </is>
      </c>
      <c r="K14" s="2" t="inlineStr">
        <is>
          <t>Available</t>
        </is>
      </c>
      <c r="L14" s="2" t="inlineStr">
        <is>
          <t>Available</t>
        </is>
      </c>
    </row>
    <row r="15">
      <c r="A15" s="6" t="n">
        <v>46276</v>
      </c>
      <c r="B15" s="7" t="inlineStr">
        <is>
          <t>Fri</t>
        </is>
      </c>
      <c r="C15" s="8" t="n">
        <v>127.5</v>
      </c>
      <c r="D15" s="8" t="n">
        <v>126.8833</v>
      </c>
      <c r="E15" s="9">
        <f>IFERROR(C15/D15-1,"")</f>
        <v/>
      </c>
      <c r="F15" s="9" t="n">
        <v>0.0059</v>
      </c>
      <c r="G15" s="7" t="inlineStr">
        <is>
          <t>2026-09-18</t>
        </is>
      </c>
      <c r="H15" s="9" t="n"/>
      <c r="I15" s="9" t="n"/>
      <c r="J15" s="7" t="inlineStr">
        <is>
          <t>Not publicly reported</t>
        </is>
      </c>
      <c r="K15" s="2" t="inlineStr">
        <is>
          <t>Available</t>
        </is>
      </c>
      <c r="L15" s="2" t="inlineStr">
        <is>
          <t>Available</t>
        </is>
      </c>
    </row>
    <row r="16" ht="28.8" customHeight="1" s="33">
      <c r="A16" s="6" t="n">
        <v>46277</v>
      </c>
      <c r="B16" s="7" t="inlineStr">
        <is>
          <t>Sat</t>
        </is>
      </c>
      <c r="C16" s="8" t="n"/>
      <c r="D16" s="8" t="n"/>
      <c r="E16" s="9">
        <f>IFERROR(C16/D16-1,"")</f>
        <v/>
      </c>
      <c r="F16" s="9" t="n">
        <v>0.0059</v>
      </c>
      <c r="G16" s="7" t="inlineStr">
        <is>
          <t>2026-09-18</t>
        </is>
      </c>
      <c r="H16" s="9" t="n"/>
      <c r="I16" s="9" t="n"/>
      <c r="J16" s="7" t="inlineStr">
        <is>
          <t>Not publicly reported</t>
        </is>
      </c>
      <c r="K16" s="2" t="inlineStr">
        <is>
          <t>No price observation retrieved</t>
        </is>
      </c>
      <c r="L16" s="2" t="inlineStr">
        <is>
          <t>No NAV observation in supplied extract</t>
        </is>
      </c>
    </row>
    <row r="17" ht="28.8" customHeight="1" s="33">
      <c r="A17" s="6" t="n">
        <v>46278</v>
      </c>
      <c r="B17" s="7" t="inlineStr">
        <is>
          <t>Sun</t>
        </is>
      </c>
      <c r="C17" s="8" t="n"/>
      <c r="D17" s="8" t="n"/>
      <c r="E17" s="9">
        <f>IFERROR(C17/D17-1,"")</f>
        <v/>
      </c>
      <c r="F17" s="9" t="n">
        <v>0.0059</v>
      </c>
      <c r="G17" s="7" t="inlineStr">
        <is>
          <t>2026-09-18</t>
        </is>
      </c>
      <c r="H17" s="9" t="n"/>
      <c r="I17" s="9" t="n"/>
      <c r="J17" s="7" t="inlineStr">
        <is>
          <t>Not publicly reported</t>
        </is>
      </c>
      <c r="K17" s="2" t="inlineStr">
        <is>
          <t>No price observation retrieved</t>
        </is>
      </c>
      <c r="L17" s="2" t="inlineStr">
        <is>
          <t>No NAV observation in supplied extract</t>
        </is>
      </c>
    </row>
    <row r="18" ht="28.8" customHeight="1" s="33">
      <c r="A18" s="6" t="n">
        <v>46279</v>
      </c>
      <c r="B18" s="7" t="inlineStr">
        <is>
          <t>Mon</t>
        </is>
      </c>
      <c r="C18" s="8" t="n"/>
      <c r="D18" s="8" t="n"/>
      <c r="E18" s="9">
        <f>IFERROR(C18/D18-1,"")</f>
        <v/>
      </c>
      <c r="F18" s="9" t="n">
        <v>0.0059</v>
      </c>
      <c r="G18" s="7" t="inlineStr">
        <is>
          <t>2026-09-18</t>
        </is>
      </c>
      <c r="H18" s="9" t="n"/>
      <c r="I18" s="9" t="n"/>
      <c r="J18" s="7" t="inlineStr">
        <is>
          <t>Not publicly reported</t>
        </is>
      </c>
      <c r="K18" s="2" t="inlineStr">
        <is>
          <t>No price observation retrieved</t>
        </is>
      </c>
      <c r="L18" s="2" t="inlineStr">
        <is>
          <t>No NAV observation in supplied extract</t>
        </is>
      </c>
    </row>
    <row r="19">
      <c r="A19" s="6" t="n">
        <v>46280</v>
      </c>
      <c r="B19" s="7" t="inlineStr">
        <is>
          <t>Tue</t>
        </is>
      </c>
      <c r="C19" s="8" t="n">
        <v>126.05</v>
      </c>
      <c r="D19" s="8" t="n">
        <v>125.7118</v>
      </c>
      <c r="E19" s="9">
        <f>IFERROR(C19/D19-1,"")</f>
        <v/>
      </c>
      <c r="F19" s="9" t="n">
        <v>0.0059</v>
      </c>
      <c r="G19" s="7" t="inlineStr">
        <is>
          <t>2026-09-18</t>
        </is>
      </c>
      <c r="H19" s="9" t="n"/>
      <c r="I19" s="9" t="n"/>
      <c r="J19" s="7" t="inlineStr">
        <is>
          <t>Not publicly reported</t>
        </is>
      </c>
      <c r="K19" s="2" t="inlineStr">
        <is>
          <t>Available</t>
        </is>
      </c>
      <c r="L19" s="2" t="inlineStr">
        <is>
          <t>Available</t>
        </is>
      </c>
    </row>
    <row r="20">
      <c r="A20" s="6" t="n">
        <v>46281</v>
      </c>
      <c r="B20" s="7" t="inlineStr">
        <is>
          <t>Wed</t>
        </is>
      </c>
      <c r="C20" s="8" t="n">
        <v>127.15</v>
      </c>
      <c r="D20" s="8" t="n">
        <v>127.1966</v>
      </c>
      <c r="E20" s="9">
        <f>IFERROR(C20/D20-1,"")</f>
        <v/>
      </c>
      <c r="F20" s="9" t="n">
        <v>0.0059</v>
      </c>
      <c r="G20" s="7" t="inlineStr">
        <is>
          <t>2026-09-18</t>
        </is>
      </c>
      <c r="H20" s="9" t="n"/>
      <c r="I20" s="9" t="n"/>
      <c r="J20" s="7" t="inlineStr">
        <is>
          <t>Not publicly reported</t>
        </is>
      </c>
      <c r="K20" s="2" t="inlineStr">
        <is>
          <t>Available</t>
        </is>
      </c>
      <c r="L20" s="2" t="inlineStr">
        <is>
          <t>Available</t>
        </is>
      </c>
    </row>
    <row r="21">
      <c r="A21" s="6" t="n">
        <v>46282</v>
      </c>
      <c r="B21" s="7" t="inlineStr">
        <is>
          <t>Thu</t>
        </is>
      </c>
      <c r="C21" s="8" t="n">
        <v>126.85</v>
      </c>
      <c r="D21" s="8" t="n">
        <v>126.5533</v>
      </c>
      <c r="E21" s="9">
        <f>IFERROR(C21/D21-1,"")</f>
        <v/>
      </c>
      <c r="F21" s="9" t="n">
        <v>0.0059</v>
      </c>
      <c r="G21" s="7" t="inlineStr">
        <is>
          <t>2026-09-18</t>
        </is>
      </c>
      <c r="H21" s="9" t="n"/>
      <c r="I21" s="9" t="n"/>
      <c r="J21" s="7" t="inlineStr">
        <is>
          <t>Not publicly reported</t>
        </is>
      </c>
      <c r="K21" s="2" t="inlineStr">
        <is>
          <t>Available</t>
        </is>
      </c>
      <c r="L21" s="2" t="inlineStr">
        <is>
          <t>Available</t>
        </is>
      </c>
    </row>
    <row r="22">
      <c r="A22" s="6" t="n">
        <v>46283</v>
      </c>
      <c r="B22" s="7" t="inlineStr">
        <is>
          <t>Fri</t>
        </is>
      </c>
      <c r="C22" s="8" t="n">
        <v>128.6</v>
      </c>
      <c r="D22" s="8" t="n">
        <v>128.2152</v>
      </c>
      <c r="E22" s="9">
        <f>IFERROR(C22/D22-1,"")</f>
        <v/>
      </c>
      <c r="F22" s="9" t="n">
        <v>0.0059</v>
      </c>
      <c r="G22" s="7" t="inlineStr">
        <is>
          <t>2026-09-18</t>
        </is>
      </c>
      <c r="H22" s="9" t="n"/>
      <c r="I22" s="9" t="n"/>
      <c r="J22" s="7" t="inlineStr">
        <is>
          <t>Not publicly reported</t>
        </is>
      </c>
      <c r="K22" s="2" t="inlineStr">
        <is>
          <t>Available</t>
        </is>
      </c>
      <c r="L22" s="2" t="inlineStr">
        <is>
          <t>Available</t>
        </is>
      </c>
    </row>
    <row r="23" ht="28.8" customHeight="1" s="33">
      <c r="A23" s="40" t="n">
        <v>46286</v>
      </c>
      <c r="B23" s="7" t="inlineStr">
        <is>
          <t>Mon</t>
        </is>
      </c>
      <c r="C23" s="8" t="n">
        <v>127.9</v>
      </c>
      <c r="D23" s="43" t="n">
        <v>129.4092</v>
      </c>
      <c r="E23" s="9">
        <f>IFERROR(C23/D23-1,"")</f>
        <v/>
      </c>
      <c r="F23" s="9" t="n">
        <v>0.0059</v>
      </c>
      <c r="G23" s="7" t="inlineStr">
        <is>
          <t>2026-09-18</t>
        </is>
      </c>
      <c r="H23" s="9" t="n"/>
      <c r="I23" s="9" t="n"/>
      <c r="J23" s="7" t="inlineStr">
        <is>
          <t>Available</t>
        </is>
      </c>
      <c r="K23" s="2" t="inlineStr">
        <is>
          <t>No price observation retrieved</t>
        </is>
      </c>
      <c r="L23" s="2" t="inlineStr">
        <is>
          <t>No NAV observation in supplied extract</t>
        </is>
      </c>
    </row>
    <row r="24" ht="28.8" customHeight="1" s="33">
      <c r="A24" s="42" t="n">
        <v>46287</v>
      </c>
      <c r="B24" t="inlineStr">
        <is>
          <t>Tue</t>
        </is>
      </c>
      <c r="C24" t="n">
        <v>127.25</v>
      </c>
      <c r="D24" s="39" t="n">
        <v>128.7893</v>
      </c>
      <c r="J24" t="inlineStr">
        <is>
          <t>Available</t>
        </is>
      </c>
    </row>
    <row r="25" ht="28.8" customHeight="1" s="33">
      <c r="A25" s="42" t="n">
        <v>46288</v>
      </c>
      <c r="B25" t="inlineStr">
        <is>
          <t>Wed</t>
        </is>
      </c>
      <c r="C25" t="n">
        <v>127.1</v>
      </c>
      <c r="D25" s="39" t="n">
        <v>128.4002</v>
      </c>
      <c r="J25" t="inlineStr">
        <is>
          <t>Available</t>
        </is>
      </c>
    </row>
    <row r="26">
      <c r="A26" s="44" t="n">
        <v>46289</v>
      </c>
      <c r="B26" t="inlineStr">
        <is>
          <t>Thu</t>
        </is>
      </c>
      <c r="C26" t="n">
        <v>125.8</v>
      </c>
      <c r="D26" s="39" t="n">
        <v>127.3068</v>
      </c>
      <c r="J26" t="inlineStr">
        <is>
          <t>Available</t>
        </is>
      </c>
    </row>
    <row r="27">
      <c r="A27" s="45" t="n">
        <v>46290</v>
      </c>
      <c r="B27" s="10" t="inlineStr">
        <is>
          <t>Fri</t>
        </is>
      </c>
      <c r="C27" t="n">
        <v>126.65</v>
      </c>
      <c r="D27" s="39" t="n">
        <v>128.3633</v>
      </c>
      <c r="J27" t="inlineStr">
        <is>
          <t>Available</t>
        </is>
      </c>
    </row>
    <row r="28">
      <c r="A28" s="41" t="inlineStr">
        <is>
          <t>TER source</t>
        </is>
      </c>
      <c r="B28" s="29" t="n"/>
    </row>
    <row r="29" ht="144" customHeight="1" s="33">
      <c r="A29" s="1" t="inlineStr">
        <is>
          <t>TD source</t>
        </is>
      </c>
      <c r="B29" s="10" t="inlineStr">
        <is>
          <t>https://www.utimf.com/mutual-funds/uti-gold-exchange-traded-fund</t>
        </is>
      </c>
    </row>
    <row r="30" ht="57.6" customHeight="1" s="33">
      <c r="A30" s="1" t="inlineStr">
        <is>
          <t>Market-price source</t>
        </is>
      </c>
      <c r="B30" s="10" t="inlineStr">
        <is>
          <t>https://finance.yahoo.com/quote/GOLDBETA.NS/history/</t>
        </is>
      </c>
    </row>
    <row r="31" ht="72" customHeight="1" s="33"/>
    <row r="32" ht="43.2" customHeight="1" s="33"/>
  </sheetData>
  <mergeCells count="3">
    <mergeCell ref="E3:L8"/>
    <mergeCell ref="A1:L1"/>
    <mergeCell ref="A28:B28"/>
  </mergeCells>
  <conditionalFormatting sqref="E11:E25">
    <cfRule type="colorScale" priority="1">
      <colorScale>
        <cfvo type="min"/>
        <cfvo type="num" val="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0" topLeftCell="A11" activePane="bottomLeft" state="frozen"/>
      <selection pane="bottomLeft" activeCell="A1" sqref="A1:L1"/>
    </sheetView>
  </sheetViews>
  <sheetFormatPr baseColWidth="8" defaultRowHeight="14.4"/>
  <cols>
    <col width="15" customWidth="1" style="33" min="1" max="1"/>
    <col width="18" customWidth="1" style="33" min="2" max="3"/>
    <col width="14" customWidth="1" style="33" min="4" max="4"/>
    <col width="28" customWidth="1" style="33" min="5" max="5"/>
    <col width="17" customWidth="1" style="33" min="6" max="6"/>
    <col width="15" customWidth="1" style="33" min="7" max="7"/>
    <col width="20" customWidth="1" style="33" min="8" max="9"/>
    <col width="18" customWidth="1" style="33" min="10" max="10"/>
    <col width="30" customWidth="1" style="33" min="11" max="12"/>
  </cols>
  <sheetData>
    <row r="1" ht="24" customHeight="1" s="33">
      <c r="A1" s="30" t="inlineStr">
        <is>
          <t>HDFC Gold ETF (HDFCGOLD.NS) — Daily Tracker</t>
        </is>
      </c>
    </row>
    <row r="3">
      <c r="A3" s="1" t="inlineStr">
        <is>
          <t>Fund</t>
        </is>
      </c>
      <c r="B3" s="3" t="inlineStr">
        <is>
          <t>HDFC Gold ETF</t>
        </is>
      </c>
      <c r="D3" s="1" t="inlineStr">
        <is>
          <t>Notes</t>
        </is>
      </c>
      <c r="E3" s="28" t="inlineStr">
        <is>
          <t>Daily NAV values verified against the user-supplied HDFC Mutual Fund / AMFI extract: ₹129.2599 on 07-Sep-2026 through ₹130.1465 on 18-Sep-2026. Market close source: Yahoo Finance. TD values were not reliably reported.</t>
        </is>
      </c>
    </row>
    <row r="4">
      <c r="A4" s="1" t="inlineStr">
        <is>
          <t>Yahoo symbol</t>
        </is>
      </c>
      <c r="B4" s="3" t="inlineStr">
        <is>
          <t>HDFCGOLD.NS</t>
        </is>
      </c>
    </row>
    <row r="5">
      <c r="A5" s="1" t="inlineStr">
        <is>
          <t>TER (periodic)</t>
        </is>
      </c>
      <c r="B5" s="4" t="n">
        <v>0.006</v>
      </c>
    </row>
    <row r="6">
      <c r="A6" s="1" t="inlineStr">
        <is>
          <t>TER as of</t>
        </is>
      </c>
      <c r="B6" s="3" t="inlineStr">
        <is>
          <t>2026-08-30</t>
        </is>
      </c>
    </row>
    <row r="7">
      <c r="A7" s="1" t="inlineStr">
        <is>
          <t>TD 1Y (periodic)</t>
        </is>
      </c>
      <c r="B7" s="4" t="n"/>
    </row>
    <row r="8">
      <c r="A8" s="1" t="inlineStr">
        <is>
          <t>TD 3Y (periodic)</t>
        </is>
      </c>
      <c r="B8" s="4" t="n"/>
      <c r="E8" s="29" t="n"/>
      <c r="F8" s="29" t="n"/>
      <c r="G8" s="29" t="n"/>
      <c r="H8" s="29" t="n"/>
      <c r="I8" s="29" t="n"/>
      <c r="J8" s="29" t="n"/>
      <c r="K8" s="29" t="n"/>
      <c r="L8" s="29" t="n"/>
    </row>
    <row r="9">
      <c r="A9" s="1" t="inlineStr">
        <is>
          <t>TD as of</t>
        </is>
      </c>
      <c r="B9" s="3" t="inlineStr">
        <is>
          <t>Not publicly reported</t>
        </is>
      </c>
    </row>
    <row r="10" ht="42" customHeight="1" s="33">
      <c r="A10" s="5" t="inlineStr">
        <is>
          <t>Date</t>
        </is>
      </c>
      <c r="B10" s="5" t="inlineStr">
        <is>
          <t>Day</t>
        </is>
      </c>
      <c r="C10" s="5" t="inlineStr">
        <is>
          <t>Market Close (₹)</t>
        </is>
      </c>
      <c r="D10" s="5" t="inlineStr">
        <is>
          <t>NAV (₹)</t>
        </is>
      </c>
      <c r="E10" s="5" t="inlineStr">
        <is>
          <t>Premium/(Discount) to NAV %</t>
        </is>
      </c>
      <c r="F10" s="5" t="inlineStr">
        <is>
          <t>TER % (periodic)</t>
        </is>
      </c>
      <c r="G10" s="5" t="inlineStr">
        <is>
          <t>TER As Of</t>
        </is>
      </c>
      <c r="H10" s="5" t="inlineStr">
        <is>
          <t>TD 1Y % (periodic)</t>
        </is>
      </c>
      <c r="I10" s="5" t="inlineStr">
        <is>
          <t>TD 3Y % (periodic)</t>
        </is>
      </c>
      <c r="J10" s="5" t="inlineStr">
        <is>
          <t>TD As Of</t>
        </is>
      </c>
      <c r="K10" s="5" t="inlineStr">
        <is>
          <t>Market Data Status</t>
        </is>
      </c>
      <c r="L10" s="5" t="inlineStr">
        <is>
          <t>NAV Data Status</t>
        </is>
      </c>
    </row>
    <row r="11">
      <c r="A11" s="6" t="n">
        <v>46272</v>
      </c>
      <c r="B11" s="7" t="inlineStr">
        <is>
          <t>Mon</t>
        </is>
      </c>
      <c r="C11" s="8" t="n">
        <v>129.88</v>
      </c>
      <c r="D11" s="8" t="n">
        <v>129.2599</v>
      </c>
      <c r="E11" s="9">
        <f>IFERROR(C11/D11-1,"")</f>
        <v/>
      </c>
      <c r="F11" s="9" t="n">
        <v>0.006</v>
      </c>
      <c r="G11" s="7" t="inlineStr">
        <is>
          <t>2026-08-30</t>
        </is>
      </c>
      <c r="H11" s="9" t="n"/>
      <c r="I11" s="9" t="n"/>
      <c r="J11" s="7" t="inlineStr">
        <is>
          <t>Not publicly reported</t>
        </is>
      </c>
      <c r="K11" s="2" t="inlineStr">
        <is>
          <t>Available</t>
        </is>
      </c>
      <c r="L11" s="2" t="inlineStr">
        <is>
          <t>Available</t>
        </is>
      </c>
    </row>
    <row r="12">
      <c r="A12" s="6" t="n">
        <v>46273</v>
      </c>
      <c r="B12" s="7" t="inlineStr">
        <is>
          <t>Tue</t>
        </is>
      </c>
      <c r="C12" s="8" t="n">
        <v>130.18</v>
      </c>
      <c r="D12" s="8" t="n">
        <v>129.5903</v>
      </c>
      <c r="E12" s="9">
        <f>IFERROR(C12/D12-1,"")</f>
        <v/>
      </c>
      <c r="F12" s="9" t="n">
        <v>0.006</v>
      </c>
      <c r="G12" s="7" t="inlineStr">
        <is>
          <t>2026-08-30</t>
        </is>
      </c>
      <c r="H12" s="9" t="n"/>
      <c r="I12" s="9" t="n"/>
      <c r="J12" s="7" t="inlineStr">
        <is>
          <t>Not publicly reported</t>
        </is>
      </c>
      <c r="K12" s="2" t="inlineStr">
        <is>
          <t>Available</t>
        </is>
      </c>
      <c r="L12" s="2" t="inlineStr">
        <is>
          <t>Available</t>
        </is>
      </c>
    </row>
    <row r="13">
      <c r="A13" s="6" t="n">
        <v>46274</v>
      </c>
      <c r="B13" s="7" t="inlineStr">
        <is>
          <t>Wed</t>
        </is>
      </c>
      <c r="C13" s="8" t="n">
        <v>130.06</v>
      </c>
      <c r="D13" s="8" t="n">
        <v>129.8203</v>
      </c>
      <c r="E13" s="9">
        <f>IFERROR(C13/D13-1,"")</f>
        <v/>
      </c>
      <c r="F13" s="9" t="n">
        <v>0.006</v>
      </c>
      <c r="G13" s="7" t="inlineStr">
        <is>
          <t>2026-08-30</t>
        </is>
      </c>
      <c r="H13" s="9" t="n"/>
      <c r="I13" s="9" t="n"/>
      <c r="J13" s="7" t="inlineStr">
        <is>
          <t>Not publicly reported</t>
        </is>
      </c>
      <c r="K13" s="2" t="inlineStr">
        <is>
          <t>Available</t>
        </is>
      </c>
      <c r="L13" s="2" t="inlineStr">
        <is>
          <t>Available</t>
        </is>
      </c>
    </row>
    <row r="14">
      <c r="A14" s="6" t="n">
        <v>46275</v>
      </c>
      <c r="B14" s="7" t="inlineStr">
        <is>
          <t>Thu</t>
        </is>
      </c>
      <c r="C14" s="8" t="n">
        <v>130.49</v>
      </c>
      <c r="D14" s="8" t="n">
        <v>129.8157</v>
      </c>
      <c r="E14" s="9">
        <f>IFERROR(C14/D14-1,"")</f>
        <v/>
      </c>
      <c r="F14" s="9" t="n">
        <v>0.006</v>
      </c>
      <c r="G14" s="7" t="inlineStr">
        <is>
          <t>2026-08-30</t>
        </is>
      </c>
      <c r="H14" s="9" t="n"/>
      <c r="I14" s="9" t="n"/>
      <c r="J14" s="7" t="inlineStr">
        <is>
          <t>Not publicly reported</t>
        </is>
      </c>
      <c r="K14" s="2" t="inlineStr">
        <is>
          <t>Available</t>
        </is>
      </c>
      <c r="L14" s="2" t="inlineStr">
        <is>
          <t>Available</t>
        </is>
      </c>
    </row>
    <row r="15">
      <c r="A15" s="6" t="n">
        <v>46276</v>
      </c>
      <c r="B15" s="7" t="inlineStr">
        <is>
          <t>Fri</t>
        </is>
      </c>
      <c r="C15" s="8" t="n">
        <v>129.37</v>
      </c>
      <c r="D15" s="8" t="n">
        <v>128.7983</v>
      </c>
      <c r="E15" s="9">
        <f>IFERROR(C15/D15-1,"")</f>
        <v/>
      </c>
      <c r="F15" s="9" t="n">
        <v>0.006</v>
      </c>
      <c r="G15" s="7" t="inlineStr">
        <is>
          <t>2026-08-30</t>
        </is>
      </c>
      <c r="H15" s="9" t="n"/>
      <c r="I15" s="9" t="n"/>
      <c r="J15" s="7" t="inlineStr">
        <is>
          <t>Not publicly reported</t>
        </is>
      </c>
      <c r="K15" s="2" t="inlineStr">
        <is>
          <t>Available</t>
        </is>
      </c>
      <c r="L15" s="2" t="inlineStr">
        <is>
          <t>Available</t>
        </is>
      </c>
    </row>
    <row r="16">
      <c r="A16" s="6" t="n">
        <v>46277</v>
      </c>
      <c r="B16" s="7" t="inlineStr">
        <is>
          <t>Sat</t>
        </is>
      </c>
      <c r="C16" s="8" t="n"/>
      <c r="D16" s="8" t="n"/>
      <c r="E16" s="9">
        <f>IFERROR(C16/D16-1,"")</f>
        <v/>
      </c>
      <c r="F16" s="9" t="n">
        <v>0.006</v>
      </c>
      <c r="G16" s="7" t="inlineStr">
        <is>
          <t>2026-08-30</t>
        </is>
      </c>
      <c r="H16" s="9" t="n"/>
      <c r="I16" s="9" t="n"/>
      <c r="J16" s="7" t="inlineStr">
        <is>
          <t>Not publicly reported</t>
        </is>
      </c>
      <c r="K16" s="2" t="inlineStr">
        <is>
          <t>No price observation retrieved</t>
        </is>
      </c>
      <c r="L16" s="2" t="inlineStr">
        <is>
          <t>Not available for this date</t>
        </is>
      </c>
    </row>
    <row r="17">
      <c r="A17" s="6" t="n">
        <v>46278</v>
      </c>
      <c r="B17" s="7" t="inlineStr">
        <is>
          <t>Sun</t>
        </is>
      </c>
      <c r="C17" s="8" t="n"/>
      <c r="D17" s="8" t="n"/>
      <c r="E17" s="9">
        <f>IFERROR(C17/D17-1,"")</f>
        <v/>
      </c>
      <c r="F17" s="9" t="n">
        <v>0.006</v>
      </c>
      <c r="G17" s="7" t="inlineStr">
        <is>
          <t>2026-08-30</t>
        </is>
      </c>
      <c r="H17" s="9" t="n"/>
      <c r="I17" s="9" t="n"/>
      <c r="J17" s="7" t="inlineStr">
        <is>
          <t>Not publicly reported</t>
        </is>
      </c>
      <c r="K17" s="2" t="inlineStr">
        <is>
          <t>No price observation retrieved</t>
        </is>
      </c>
      <c r="L17" s="2" t="inlineStr">
        <is>
          <t>Not available for this date</t>
        </is>
      </c>
    </row>
    <row r="18">
      <c r="A18" s="6" t="n">
        <v>46279</v>
      </c>
      <c r="B18" s="7" t="inlineStr">
        <is>
          <t>Mon</t>
        </is>
      </c>
      <c r="C18" s="8" t="n"/>
      <c r="D18" s="8" t="n"/>
      <c r="E18" s="9">
        <f>IFERROR(C18/D18-1,"")</f>
        <v/>
      </c>
      <c r="F18" s="9" t="n">
        <v>0.006</v>
      </c>
      <c r="G18" s="7" t="inlineStr">
        <is>
          <t>2026-08-30</t>
        </is>
      </c>
      <c r="H18" s="9" t="n"/>
      <c r="I18" s="9" t="n"/>
      <c r="J18" s="7" t="inlineStr">
        <is>
          <t>Not publicly reported</t>
        </is>
      </c>
      <c r="K18" s="2" t="inlineStr">
        <is>
          <t>No price observation retrieved</t>
        </is>
      </c>
      <c r="L18" s="2" t="inlineStr">
        <is>
          <t>Not available for this date</t>
        </is>
      </c>
    </row>
    <row r="19">
      <c r="A19" s="6" t="n">
        <v>46280</v>
      </c>
      <c r="B19" s="7" t="inlineStr">
        <is>
          <t>Tue</t>
        </is>
      </c>
      <c r="C19" s="8" t="n">
        <v>127.88</v>
      </c>
      <c r="D19" s="8" t="n">
        <v>127.6122</v>
      </c>
      <c r="E19" s="9">
        <f>IFERROR(C19/D19-1,"")</f>
        <v/>
      </c>
      <c r="F19" s="9" t="n">
        <v>0.006</v>
      </c>
      <c r="G19" s="7" t="inlineStr">
        <is>
          <t>2026-08-30</t>
        </is>
      </c>
      <c r="H19" s="9" t="n"/>
      <c r="I19" s="9" t="n"/>
      <c r="J19" s="7" t="inlineStr">
        <is>
          <t>Not publicly reported</t>
        </is>
      </c>
      <c r="K19" s="2" t="inlineStr">
        <is>
          <t>Available</t>
        </is>
      </c>
      <c r="L19" s="2" t="inlineStr">
        <is>
          <t>Available</t>
        </is>
      </c>
    </row>
    <row r="20">
      <c r="A20" s="6" t="n">
        <v>46281</v>
      </c>
      <c r="B20" s="7" t="inlineStr">
        <is>
          <t>Wed</t>
        </is>
      </c>
      <c r="C20" s="8" t="n">
        <v>129.11</v>
      </c>
      <c r="D20" s="8" t="n">
        <v>129.1154</v>
      </c>
      <c r="E20" s="9">
        <f>IFERROR(C20/D20-1,"")</f>
        <v/>
      </c>
      <c r="F20" s="9" t="n">
        <v>0.006</v>
      </c>
      <c r="G20" s="7" t="inlineStr">
        <is>
          <t>2026-08-30</t>
        </is>
      </c>
      <c r="H20" s="9" t="n"/>
      <c r="I20" s="9" t="n"/>
      <c r="J20" s="7" t="inlineStr">
        <is>
          <t>Not publicly reported</t>
        </is>
      </c>
      <c r="K20" s="2" t="inlineStr">
        <is>
          <t>Available</t>
        </is>
      </c>
      <c r="L20" s="2" t="inlineStr">
        <is>
          <t>Available</t>
        </is>
      </c>
    </row>
    <row r="21">
      <c r="A21" s="6" t="n">
        <v>46282</v>
      </c>
      <c r="B21" s="7" t="inlineStr">
        <is>
          <t>Thu</t>
        </is>
      </c>
      <c r="C21" s="8" t="n">
        <v>128.68</v>
      </c>
      <c r="D21" s="8" t="n">
        <v>128.4641</v>
      </c>
      <c r="E21" s="9">
        <f>IFERROR(C21/D21-1,"")</f>
        <v/>
      </c>
      <c r="F21" s="9" t="n">
        <v>0.006</v>
      </c>
      <c r="G21" s="7" t="inlineStr">
        <is>
          <t>2026-08-30</t>
        </is>
      </c>
      <c r="H21" s="9" t="n"/>
      <c r="I21" s="9" t="n"/>
      <c r="J21" s="7" t="inlineStr">
        <is>
          <t>Not publicly reported</t>
        </is>
      </c>
      <c r="K21" s="2" t="inlineStr">
        <is>
          <t>Available</t>
        </is>
      </c>
      <c r="L21" s="2" t="inlineStr">
        <is>
          <t>Available</t>
        </is>
      </c>
    </row>
    <row r="22">
      <c r="A22" s="6" t="n">
        <v>46283</v>
      </c>
      <c r="B22" s="7" t="inlineStr">
        <is>
          <t>Fri</t>
        </is>
      </c>
      <c r="C22" s="8" t="n">
        <v>130.64</v>
      </c>
      <c r="D22" s="8" t="n">
        <v>130.1465</v>
      </c>
      <c r="E22" s="9">
        <f>IFERROR(C22/D22-1,"")</f>
        <v/>
      </c>
      <c r="F22" s="9" t="n">
        <v>0.006</v>
      </c>
      <c r="G22" s="7" t="inlineStr">
        <is>
          <t>2026-08-30</t>
        </is>
      </c>
      <c r="H22" s="9" t="n"/>
      <c r="I22" s="9" t="n"/>
      <c r="J22" s="7" t="inlineStr">
        <is>
          <t>Not publicly reported</t>
        </is>
      </c>
      <c r="K22" s="2" t="inlineStr">
        <is>
          <t>Available</t>
        </is>
      </c>
      <c r="L22" s="2" t="inlineStr">
        <is>
          <t>Available</t>
        </is>
      </c>
    </row>
    <row r="23">
      <c r="A23" s="40" t="n">
        <v>46286</v>
      </c>
      <c r="B23" s="7" t="inlineStr">
        <is>
          <t>Mon</t>
        </is>
      </c>
      <c r="C23" s="8" t="n">
        <v>129.83</v>
      </c>
      <c r="D23" s="43" t="n">
        <v>129.6745</v>
      </c>
      <c r="E23" s="9">
        <f>IFERROR(C23/D23-1,"")</f>
        <v/>
      </c>
      <c r="F23" s="9" t="n">
        <v>0.006</v>
      </c>
      <c r="G23" s="7" t="inlineStr">
        <is>
          <t>2026-08-30</t>
        </is>
      </c>
      <c r="H23" s="9" t="n"/>
      <c r="I23" s="9" t="n"/>
      <c r="J23" s="7" t="inlineStr">
        <is>
          <t>Available</t>
        </is>
      </c>
      <c r="K23" s="2" t="inlineStr">
        <is>
          <t>No price observation retrieved</t>
        </is>
      </c>
      <c r="L23" s="2" t="inlineStr">
        <is>
          <t>Not available for this date</t>
        </is>
      </c>
    </row>
    <row r="24">
      <c r="A24" s="42" t="n">
        <v>46287</v>
      </c>
      <c r="B24" t="inlineStr">
        <is>
          <t>Tue</t>
        </is>
      </c>
      <c r="C24" t="n">
        <v>129.26</v>
      </c>
      <c r="D24" s="39" t="n">
        <v>129.0517</v>
      </c>
      <c r="J24" t="inlineStr">
        <is>
          <t>Available</t>
        </is>
      </c>
    </row>
    <row r="25">
      <c r="A25" s="42" t="n">
        <v>46288</v>
      </c>
      <c r="B25" t="inlineStr">
        <is>
          <t>Wed</t>
        </is>
      </c>
      <c r="C25" t="n">
        <v>128.94</v>
      </c>
      <c r="D25" s="39" t="n">
        <v>128.661</v>
      </c>
      <c r="J25" t="inlineStr">
        <is>
          <t>Available</t>
        </is>
      </c>
    </row>
    <row r="26">
      <c r="A26" s="44" t="n">
        <v>46289</v>
      </c>
      <c r="B26" t="inlineStr">
        <is>
          <t>Thu</t>
        </is>
      </c>
      <c r="C26" t="n">
        <v>127.64</v>
      </c>
      <c r="D26" s="39" t="n">
        <v>127.5625</v>
      </c>
      <c r="J26" t="inlineStr">
        <is>
          <t>Available</t>
        </is>
      </c>
    </row>
    <row r="27">
      <c r="A27" s="45" t="n">
        <v>46290</v>
      </c>
      <c r="B27" s="10" t="inlineStr">
        <is>
          <t>Fri</t>
        </is>
      </c>
      <c r="C27" t="n">
        <v>128.63</v>
      </c>
      <c r="D27" s="39" t="n">
        <v>128.625</v>
      </c>
      <c r="J27" t="inlineStr">
        <is>
          <t>Available</t>
        </is>
      </c>
    </row>
    <row r="28">
      <c r="A28" s="41" t="inlineStr">
        <is>
          <t>TER source</t>
        </is>
      </c>
      <c r="B28" s="29" t="n"/>
    </row>
    <row r="29" ht="115.2" customHeight="1" s="33">
      <c r="A29" s="1" t="inlineStr">
        <is>
          <t>TD source</t>
        </is>
      </c>
      <c r="B29" s="10" t="inlineStr">
        <is>
          <t>https://www.hdfcfund.com/explore/mutual-funds/hdfc-gold-etf/regular</t>
        </is>
      </c>
    </row>
    <row r="30" ht="72" customHeight="1" s="33">
      <c r="A30" s="1" t="inlineStr">
        <is>
          <t>Market-price source</t>
        </is>
      </c>
      <c r="B30" s="10" t="inlineStr">
        <is>
          <t>https://finance.yahoo.com/quote/HDFCGOLD.NS/history/</t>
        </is>
      </c>
    </row>
    <row r="31" ht="57.6" customHeight="1" s="33"/>
    <row r="32" ht="43.2" customHeight="1" s="33"/>
  </sheetData>
  <mergeCells count="3">
    <mergeCell ref="E3:L8"/>
    <mergeCell ref="A1:L1"/>
    <mergeCell ref="A28:B28"/>
  </mergeCells>
  <conditionalFormatting sqref="E11:E25">
    <cfRule type="colorScale" priority="1">
      <colorScale>
        <cfvo type="min"/>
        <cfvo type="num" val="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0" topLeftCell="A11" activePane="bottomLeft" state="frozen"/>
      <selection pane="bottomLeft" activeCell="A1" sqref="A1:L1"/>
    </sheetView>
  </sheetViews>
  <sheetFormatPr baseColWidth="8" defaultRowHeight="14.4"/>
  <cols>
    <col width="15" customWidth="1" style="33" min="1" max="1"/>
    <col width="18" customWidth="1" style="33" min="2" max="3"/>
    <col width="14" customWidth="1" style="33" min="4" max="4"/>
    <col width="28" customWidth="1" style="33" min="5" max="5"/>
    <col width="17" customWidth="1" style="33" min="6" max="6"/>
    <col width="15" customWidth="1" style="33" min="7" max="7"/>
    <col width="20" customWidth="1" style="33" min="8" max="9"/>
    <col width="18" customWidth="1" style="33" min="10" max="10"/>
    <col width="30" customWidth="1" style="33" min="11" max="12"/>
  </cols>
  <sheetData>
    <row r="1" ht="24" customHeight="1" s="33">
      <c r="A1" s="30" t="inlineStr">
        <is>
          <t>ICICI Prudential Gold ETF (GOLDIETF.NS) — Daily Tracker</t>
        </is>
      </c>
    </row>
    <row r="3">
      <c r="A3" s="1" t="inlineStr">
        <is>
          <t>Fund</t>
        </is>
      </c>
      <c r="B3" s="3" t="inlineStr">
        <is>
          <t>ICICI Prudential Gold ETF</t>
        </is>
      </c>
      <c r="D3" s="1" t="inlineStr">
        <is>
          <t>Notes</t>
        </is>
      </c>
      <c r="E3" s="28" t="inlineStr">
        <is>
          <t>Daily NAV values verified against the user-supplied ICICI Prudential Mutual Fund extract: ₹129.5659 on 07-Sep-2026 through ₹130.4544 on 18-Sep-2026. Market close source: Yahoo Finance. TER and TD are periodic AMC disclosures.</t>
        </is>
      </c>
    </row>
    <row r="4">
      <c r="A4" s="1" t="inlineStr">
        <is>
          <t>Yahoo symbol</t>
        </is>
      </c>
      <c r="B4" s="3" t="inlineStr">
        <is>
          <t>GOLDIETF.NS</t>
        </is>
      </c>
    </row>
    <row r="5">
      <c r="A5" s="1" t="inlineStr">
        <is>
          <t>TER (periodic)</t>
        </is>
      </c>
      <c r="B5" s="4" t="n">
        <v>0.0042</v>
      </c>
    </row>
    <row r="6">
      <c r="A6" s="1" t="inlineStr">
        <is>
          <t>TER as of</t>
        </is>
      </c>
      <c r="B6" s="3" t="inlineStr">
        <is>
          <t>2026-08-31</t>
        </is>
      </c>
    </row>
    <row r="7">
      <c r="A7" s="1" t="inlineStr">
        <is>
          <t>TD 1Y (periodic)</t>
        </is>
      </c>
      <c r="B7" s="4" t="n">
        <v>-0.0165</v>
      </c>
    </row>
    <row r="8">
      <c r="A8" s="1" t="inlineStr">
        <is>
          <t>TD 3Y (periodic)</t>
        </is>
      </c>
      <c r="B8" s="4" t="n">
        <v>-0.0137</v>
      </c>
      <c r="E8" s="29" t="n"/>
      <c r="F8" s="29" t="n"/>
      <c r="G8" s="29" t="n"/>
      <c r="H8" s="29" t="n"/>
      <c r="I8" s="29" t="n"/>
      <c r="J8" s="29" t="n"/>
      <c r="K8" s="29" t="n"/>
      <c r="L8" s="29" t="n"/>
    </row>
    <row r="9">
      <c r="A9" s="1" t="inlineStr">
        <is>
          <t>TD as of</t>
        </is>
      </c>
      <c r="B9" s="3" t="inlineStr">
        <is>
          <t>2026-08-31</t>
        </is>
      </c>
    </row>
    <row r="10" ht="42" customHeight="1" s="33">
      <c r="A10" s="5" t="inlineStr">
        <is>
          <t>Date</t>
        </is>
      </c>
      <c r="B10" s="5" t="inlineStr">
        <is>
          <t>Day</t>
        </is>
      </c>
      <c r="C10" s="5" t="inlineStr">
        <is>
          <t>Market Close (₹)</t>
        </is>
      </c>
      <c r="D10" s="5" t="inlineStr">
        <is>
          <t>NAV (₹)</t>
        </is>
      </c>
      <c r="E10" s="5" t="inlineStr">
        <is>
          <t>Premium/(Discount) to NAV %</t>
        </is>
      </c>
      <c r="F10" s="5" t="inlineStr">
        <is>
          <t>TER % (periodic)</t>
        </is>
      </c>
      <c r="G10" s="5" t="inlineStr">
        <is>
          <t>TER As Of</t>
        </is>
      </c>
      <c r="H10" s="5" t="inlineStr">
        <is>
          <t>TD 1Y % (periodic)</t>
        </is>
      </c>
      <c r="I10" s="5" t="inlineStr">
        <is>
          <t>TD 3Y % (periodic)</t>
        </is>
      </c>
      <c r="J10" s="5" t="inlineStr">
        <is>
          <t>TD As Of</t>
        </is>
      </c>
      <c r="K10" s="5" t="inlineStr">
        <is>
          <t>Market Data Status</t>
        </is>
      </c>
      <c r="L10" s="5" t="inlineStr">
        <is>
          <t>NAV Data Status</t>
        </is>
      </c>
    </row>
    <row r="11">
      <c r="A11" s="6" t="n">
        <v>46272</v>
      </c>
      <c r="B11" s="7" t="inlineStr">
        <is>
          <t>Mon</t>
        </is>
      </c>
      <c r="C11" s="8" t="n">
        <v>130.01</v>
      </c>
      <c r="D11" s="8" t="n">
        <v>129.5659</v>
      </c>
      <c r="E11" s="9">
        <f>IFERROR(C11/D11-1,"")</f>
        <v/>
      </c>
      <c r="F11" s="9" t="n">
        <v>0.0042</v>
      </c>
      <c r="G11" s="7" t="inlineStr">
        <is>
          <t>2026-08-31</t>
        </is>
      </c>
      <c r="H11" s="9" t="n">
        <v>-0.0165</v>
      </c>
      <c r="I11" s="9" t="n">
        <v>-0.0137</v>
      </c>
      <c r="J11" s="7" t="inlineStr">
        <is>
          <t>2026-08-31</t>
        </is>
      </c>
      <c r="K11" s="2" t="inlineStr">
        <is>
          <t>Available</t>
        </is>
      </c>
      <c r="L11" s="2" t="inlineStr">
        <is>
          <t>Available</t>
        </is>
      </c>
    </row>
    <row r="12">
      <c r="A12" s="6" t="n">
        <v>46273</v>
      </c>
      <c r="B12" s="7" t="inlineStr">
        <is>
          <t>Tue</t>
        </is>
      </c>
      <c r="C12" s="8" t="n">
        <v>130.38</v>
      </c>
      <c r="D12" s="8" t="n">
        <v>129.8962</v>
      </c>
      <c r="E12" s="9">
        <f>IFERROR(C12/D12-1,"")</f>
        <v/>
      </c>
      <c r="F12" s="9" t="n">
        <v>0.0042</v>
      </c>
      <c r="G12" s="7" t="inlineStr">
        <is>
          <t>2026-08-31</t>
        </is>
      </c>
      <c r="H12" s="9" t="n">
        <v>-0.0165</v>
      </c>
      <c r="I12" s="9" t="n">
        <v>-0.0137</v>
      </c>
      <c r="J12" s="7" t="inlineStr">
        <is>
          <t>2026-08-31</t>
        </is>
      </c>
      <c r="K12" s="2" t="inlineStr">
        <is>
          <t>Available</t>
        </is>
      </c>
      <c r="L12" s="2" t="inlineStr">
        <is>
          <t>Available</t>
        </is>
      </c>
    </row>
    <row r="13">
      <c r="A13" s="6" t="n">
        <v>46274</v>
      </c>
      <c r="B13" s="7" t="inlineStr">
        <is>
          <t>Wed</t>
        </is>
      </c>
      <c r="C13" s="8" t="n">
        <v>130.37</v>
      </c>
      <c r="D13" s="8" t="n">
        <v>130.1261</v>
      </c>
      <c r="E13" s="9">
        <f>IFERROR(C13/D13-1,"")</f>
        <v/>
      </c>
      <c r="F13" s="9" t="n">
        <v>0.0042</v>
      </c>
      <c r="G13" s="7" t="inlineStr">
        <is>
          <t>2026-08-31</t>
        </is>
      </c>
      <c r="H13" s="9" t="n">
        <v>-0.0165</v>
      </c>
      <c r="I13" s="9" t="n">
        <v>-0.0137</v>
      </c>
      <c r="J13" s="7" t="inlineStr">
        <is>
          <t>2026-08-31</t>
        </is>
      </c>
      <c r="K13" s="2" t="inlineStr">
        <is>
          <t>Available</t>
        </is>
      </c>
      <c r="L13" s="2" t="inlineStr">
        <is>
          <t>Available</t>
        </is>
      </c>
    </row>
    <row r="14">
      <c r="A14" s="6" t="n">
        <v>46275</v>
      </c>
      <c r="B14" s="7" t="inlineStr">
        <is>
          <t>Thu</t>
        </is>
      </c>
      <c r="C14" s="8" t="n">
        <v>130.75</v>
      </c>
      <c r="D14" s="8" t="n">
        <v>130.1219</v>
      </c>
      <c r="E14" s="9">
        <f>IFERROR(C14/D14-1,"")</f>
        <v/>
      </c>
      <c r="F14" s="9" t="n">
        <v>0.0042</v>
      </c>
      <c r="G14" s="7" t="inlineStr">
        <is>
          <t>2026-08-31</t>
        </is>
      </c>
      <c r="H14" s="9" t="n">
        <v>-0.0165</v>
      </c>
      <c r="I14" s="9" t="n">
        <v>-0.0137</v>
      </c>
      <c r="J14" s="7" t="inlineStr">
        <is>
          <t>2026-08-31</t>
        </is>
      </c>
      <c r="K14" s="2" t="inlineStr">
        <is>
          <t>Available</t>
        </is>
      </c>
      <c r="L14" s="2" t="inlineStr">
        <is>
          <t>Available</t>
        </is>
      </c>
    </row>
    <row r="15">
      <c r="A15" s="6" t="n">
        <v>46276</v>
      </c>
      <c r="B15" s="7" t="inlineStr">
        <is>
          <t>Fri</t>
        </is>
      </c>
      <c r="C15" s="8" t="n">
        <v>129.63</v>
      </c>
      <c r="D15" s="8" t="n">
        <v>129.1065</v>
      </c>
      <c r="E15" s="9">
        <f>IFERROR(C15/D15-1,"")</f>
        <v/>
      </c>
      <c r="F15" s="9" t="n">
        <v>0.0042</v>
      </c>
      <c r="G15" s="7" t="inlineStr">
        <is>
          <t>2026-08-31</t>
        </is>
      </c>
      <c r="H15" s="9" t="n">
        <v>-0.0165</v>
      </c>
      <c r="I15" s="9" t="n">
        <v>-0.0137</v>
      </c>
      <c r="J15" s="7" t="inlineStr">
        <is>
          <t>2026-08-31</t>
        </is>
      </c>
      <c r="K15" s="2" t="inlineStr">
        <is>
          <t>Available</t>
        </is>
      </c>
      <c r="L15" s="2" t="inlineStr">
        <is>
          <t>Available</t>
        </is>
      </c>
    </row>
    <row r="16">
      <c r="A16" s="6" t="n">
        <v>46277</v>
      </c>
      <c r="B16" s="7" t="inlineStr">
        <is>
          <t>Sat</t>
        </is>
      </c>
      <c r="C16" s="8" t="n"/>
      <c r="D16" s="8" t="n"/>
      <c r="E16" s="9">
        <f>IFERROR(C16/D16-1,"")</f>
        <v/>
      </c>
      <c r="F16" s="9" t="n">
        <v>0.0042</v>
      </c>
      <c r="G16" s="7" t="inlineStr">
        <is>
          <t>2026-08-31</t>
        </is>
      </c>
      <c r="H16" s="9" t="n">
        <v>-0.0165</v>
      </c>
      <c r="I16" s="9" t="n">
        <v>-0.0137</v>
      </c>
      <c r="J16" s="7" t="inlineStr">
        <is>
          <t>2026-08-31</t>
        </is>
      </c>
      <c r="K16" s="2" t="inlineStr">
        <is>
          <t>No price observation retrieved</t>
        </is>
      </c>
      <c r="L16" s="2" t="inlineStr">
        <is>
          <t>Not available for this date</t>
        </is>
      </c>
    </row>
    <row r="17">
      <c r="A17" s="6" t="n">
        <v>46278</v>
      </c>
      <c r="B17" s="7" t="inlineStr">
        <is>
          <t>Sun</t>
        </is>
      </c>
      <c r="C17" s="8" t="n"/>
      <c r="D17" s="8" t="n"/>
      <c r="E17" s="9">
        <f>IFERROR(C17/D17-1,"")</f>
        <v/>
      </c>
      <c r="F17" s="9" t="n">
        <v>0.0042</v>
      </c>
      <c r="G17" s="7" t="inlineStr">
        <is>
          <t>2026-08-31</t>
        </is>
      </c>
      <c r="H17" s="9" t="n">
        <v>-0.0165</v>
      </c>
      <c r="I17" s="9" t="n">
        <v>-0.0137</v>
      </c>
      <c r="J17" s="7" t="inlineStr">
        <is>
          <t>2026-08-31</t>
        </is>
      </c>
      <c r="K17" s="2" t="inlineStr">
        <is>
          <t>No price observation retrieved</t>
        </is>
      </c>
      <c r="L17" s="2" t="inlineStr">
        <is>
          <t>Not available for this date</t>
        </is>
      </c>
    </row>
    <row r="18">
      <c r="A18" s="6" t="n">
        <v>46279</v>
      </c>
      <c r="B18" s="7" t="inlineStr">
        <is>
          <t>Mon</t>
        </is>
      </c>
      <c r="C18" s="8" t="n"/>
      <c r="D18" s="8" t="n"/>
      <c r="E18" s="9">
        <f>IFERROR(C18/D18-1,"")</f>
        <v/>
      </c>
      <c r="F18" s="9" t="n">
        <v>0.0042</v>
      </c>
      <c r="G18" s="7" t="inlineStr">
        <is>
          <t>2026-08-31</t>
        </is>
      </c>
      <c r="H18" s="9" t="n">
        <v>-0.0165</v>
      </c>
      <c r="I18" s="9" t="n">
        <v>-0.0137</v>
      </c>
      <c r="J18" s="7" t="inlineStr">
        <is>
          <t>2026-08-31</t>
        </is>
      </c>
      <c r="K18" s="2" t="inlineStr">
        <is>
          <t>No price observation retrieved</t>
        </is>
      </c>
      <c r="L18" s="2" t="inlineStr">
        <is>
          <t>Not available for this date</t>
        </is>
      </c>
    </row>
    <row r="19">
      <c r="A19" s="6" t="n">
        <v>46280</v>
      </c>
      <c r="B19" s="7" t="inlineStr">
        <is>
          <t>Tue</t>
        </is>
      </c>
      <c r="C19" s="8" t="n">
        <v>127.94</v>
      </c>
      <c r="D19" s="8" t="n">
        <v>127.9237</v>
      </c>
      <c r="E19" s="9">
        <f>IFERROR(C19/D19-1,"")</f>
        <v/>
      </c>
      <c r="F19" s="9" t="n">
        <v>0.0042</v>
      </c>
      <c r="G19" s="7" t="inlineStr">
        <is>
          <t>2026-08-31</t>
        </is>
      </c>
      <c r="H19" s="9" t="n">
        <v>-0.0165</v>
      </c>
      <c r="I19" s="9" t="n">
        <v>-0.0137</v>
      </c>
      <c r="J19" s="7" t="inlineStr">
        <is>
          <t>2026-08-31</t>
        </is>
      </c>
      <c r="K19" s="2" t="inlineStr">
        <is>
          <t>Available</t>
        </is>
      </c>
      <c r="L19" s="2" t="inlineStr">
        <is>
          <t>Available</t>
        </is>
      </c>
    </row>
    <row r="20">
      <c r="A20" s="6" t="n">
        <v>46281</v>
      </c>
      <c r="B20" s="7" t="inlineStr">
        <is>
          <t>Wed</t>
        </is>
      </c>
      <c r="C20" s="8" t="n">
        <v>129.44</v>
      </c>
      <c r="D20" s="8" t="n">
        <v>129.4246</v>
      </c>
      <c r="E20" s="9">
        <f>IFERROR(C20/D20-1,"")</f>
        <v/>
      </c>
      <c r="F20" s="9" t="n">
        <v>0.0042</v>
      </c>
      <c r="G20" s="7" t="inlineStr">
        <is>
          <t>2026-08-31</t>
        </is>
      </c>
      <c r="H20" s="9" t="n">
        <v>-0.0165</v>
      </c>
      <c r="I20" s="9" t="n">
        <v>-0.0137</v>
      </c>
      <c r="J20" s="7" t="inlineStr">
        <is>
          <t>2026-08-31</t>
        </is>
      </c>
      <c r="K20" s="2" t="inlineStr">
        <is>
          <t>Available</t>
        </is>
      </c>
      <c r="L20" s="2" t="inlineStr">
        <is>
          <t>Available</t>
        </is>
      </c>
    </row>
    <row r="21">
      <c r="A21" s="6" t="n">
        <v>46282</v>
      </c>
      <c r="B21" s="7" t="inlineStr">
        <is>
          <t>Thu</t>
        </is>
      </c>
      <c r="C21" s="8" t="n">
        <v>128.97</v>
      </c>
      <c r="D21" s="8" t="n">
        <v>128.7747</v>
      </c>
      <c r="E21" s="9">
        <f>IFERROR(C21/D21-1,"")</f>
        <v/>
      </c>
      <c r="F21" s="9" t="n">
        <v>0.0042</v>
      </c>
      <c r="G21" s="7" t="inlineStr">
        <is>
          <t>2026-08-31</t>
        </is>
      </c>
      <c r="H21" s="9" t="n">
        <v>-0.0165</v>
      </c>
      <c r="I21" s="9" t="n">
        <v>-0.0137</v>
      </c>
      <c r="J21" s="7" t="inlineStr">
        <is>
          <t>2026-08-31</t>
        </is>
      </c>
      <c r="K21" s="2" t="inlineStr">
        <is>
          <t>Available</t>
        </is>
      </c>
      <c r="L21" s="2" t="inlineStr">
        <is>
          <t>Available</t>
        </is>
      </c>
    </row>
    <row r="22">
      <c r="A22" s="6" t="n">
        <v>46283</v>
      </c>
      <c r="B22" s="7" t="inlineStr">
        <is>
          <t>Fri</t>
        </is>
      </c>
      <c r="C22" s="8" t="n">
        <v>131.16</v>
      </c>
      <c r="D22" s="8" t="n">
        <v>130.4544</v>
      </c>
      <c r="E22" s="9">
        <f>IFERROR(C22/D22-1,"")</f>
        <v/>
      </c>
      <c r="F22" s="9" t="n">
        <v>0.0042</v>
      </c>
      <c r="G22" s="7" t="inlineStr">
        <is>
          <t>2026-08-31</t>
        </is>
      </c>
      <c r="H22" s="9" t="n">
        <v>-0.0165</v>
      </c>
      <c r="I22" s="9" t="n">
        <v>-0.0137</v>
      </c>
      <c r="J22" s="7" t="inlineStr">
        <is>
          <t>2026-08-31</t>
        </is>
      </c>
      <c r="K22" s="2" t="inlineStr">
        <is>
          <t>Available</t>
        </is>
      </c>
      <c r="L22" s="2" t="inlineStr">
        <is>
          <t>Available</t>
        </is>
      </c>
    </row>
    <row r="23">
      <c r="A23" s="40" t="n">
        <v>46286</v>
      </c>
      <c r="B23" s="7" t="inlineStr">
        <is>
          <t>Mon</t>
        </is>
      </c>
      <c r="C23" s="8" t="n">
        <v>130.01</v>
      </c>
      <c r="D23" s="43" t="n">
        <v>127.749</v>
      </c>
      <c r="E23" s="9">
        <f>IFERROR(C23/D23-1,"")</f>
        <v/>
      </c>
      <c r="F23" s="9" t="n">
        <v>0.0042</v>
      </c>
      <c r="G23" s="7" t="inlineStr">
        <is>
          <t>2026-08-31</t>
        </is>
      </c>
      <c r="H23" s="9" t="n">
        <v>-0.0165</v>
      </c>
      <c r="I23" s="9" t="n">
        <v>-0.0137</v>
      </c>
      <c r="J23" s="7" t="inlineStr">
        <is>
          <t>Available</t>
        </is>
      </c>
      <c r="K23" s="2" t="inlineStr">
        <is>
          <t>No price observation retrieved</t>
        </is>
      </c>
      <c r="L23" s="2" t="inlineStr">
        <is>
          <t>Not available for this date</t>
        </is>
      </c>
    </row>
    <row r="24">
      <c r="A24" s="42" t="n">
        <v>46287</v>
      </c>
      <c r="B24" t="inlineStr">
        <is>
          <t>Tue</t>
        </is>
      </c>
      <c r="C24" t="n">
        <v>129.42</v>
      </c>
      <c r="D24" s="39" t="n">
        <v>127.1338</v>
      </c>
      <c r="J24" t="inlineStr">
        <is>
          <t>Available</t>
        </is>
      </c>
    </row>
    <row r="25">
      <c r="A25" s="42" t="n">
        <v>46288</v>
      </c>
      <c r="B25" t="inlineStr">
        <is>
          <t>Wed</t>
        </is>
      </c>
      <c r="C25" t="n">
        <v>129.21</v>
      </c>
      <c r="D25" s="39" t="n">
        <v>126.7478</v>
      </c>
      <c r="J25" t="inlineStr">
        <is>
          <t>Available</t>
        </is>
      </c>
    </row>
    <row r="26">
      <c r="A26" s="44" t="n">
        <v>46289</v>
      </c>
      <c r="B26" t="inlineStr">
        <is>
          <t>Thu</t>
        </is>
      </c>
      <c r="C26" t="n">
        <v>127.88</v>
      </c>
      <c r="D26" s="39" t="n">
        <v>125.6627</v>
      </c>
      <c r="J26" t="inlineStr">
        <is>
          <t>Available</t>
        </is>
      </c>
    </row>
    <row r="27">
      <c r="A27" s="45" t="n">
        <v>46290</v>
      </c>
      <c r="B27" s="10" t="inlineStr">
        <is>
          <t>Fri</t>
        </is>
      </c>
      <c r="C27" t="n">
        <v>129.03</v>
      </c>
      <c r="D27" s="39" t="n">
        <v>126.7123</v>
      </c>
      <c r="J27" t="inlineStr">
        <is>
          <t>Available</t>
        </is>
      </c>
    </row>
    <row r="28">
      <c r="A28" s="41" t="inlineStr">
        <is>
          <t>TER source</t>
        </is>
      </c>
      <c r="B28" s="29" t="n"/>
    </row>
    <row r="29" ht="115.2" customHeight="1" s="33">
      <c r="A29" s="1" t="inlineStr">
        <is>
          <t>TD source</t>
        </is>
      </c>
      <c r="B29" s="10" t="inlineStr">
        <is>
          <t>https://www.icicipruamc.com/blob/knowledgecentre/factsheet-passive/Passive.pdf</t>
        </is>
      </c>
    </row>
    <row r="30" ht="72" customHeight="1" s="33">
      <c r="A30" s="1" t="inlineStr">
        <is>
          <t>Market-price source</t>
        </is>
      </c>
      <c r="B30" s="10" t="inlineStr">
        <is>
          <t>https://finance.yahoo.com/quote/GOLDIETF.NS/history/</t>
        </is>
      </c>
    </row>
    <row r="31" ht="72" customHeight="1" s="33"/>
    <row r="32" ht="43.2" customHeight="1" s="33"/>
  </sheetData>
  <mergeCells count="3">
    <mergeCell ref="E3:L8"/>
    <mergeCell ref="A1:L1"/>
    <mergeCell ref="A28:B28"/>
  </mergeCells>
  <conditionalFormatting sqref="E11:E25">
    <cfRule type="colorScale" priority="1">
      <colorScale>
        <cfvo type="min"/>
        <cfvo type="num" val="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0" topLeftCell="A11" activePane="bottomLeft" state="frozen"/>
      <selection pane="bottomLeft" activeCell="A1" sqref="A1:L1"/>
    </sheetView>
  </sheetViews>
  <sheetFormatPr baseColWidth="8" defaultRowHeight="14.4"/>
  <cols>
    <col width="15" customWidth="1" style="33" min="1" max="1"/>
    <col width="18" customWidth="1" style="33" min="2" max="3"/>
    <col width="14" customWidth="1" style="33" min="4" max="4"/>
    <col width="28" customWidth="1" style="33" min="5" max="5"/>
    <col width="17" customWidth="1" style="33" min="6" max="6"/>
    <col width="15" customWidth="1" style="33" min="7" max="7"/>
    <col width="20" customWidth="1" style="33" min="8" max="9"/>
    <col width="18" customWidth="1" style="33" min="10" max="10"/>
    <col width="30" customWidth="1" style="33" min="11" max="12"/>
  </cols>
  <sheetData>
    <row r="1" ht="24" customHeight="1" s="33">
      <c r="A1" s="30" t="inlineStr">
        <is>
          <t>Aditya Birla Sun Life Gold ETF (BSLGOLDETF.NS) — Daily Tracker</t>
        </is>
      </c>
    </row>
    <row r="3">
      <c r="A3" s="1" t="inlineStr">
        <is>
          <t>Fund</t>
        </is>
      </c>
      <c r="B3" s="3" t="inlineStr">
        <is>
          <t>Aditya Birla Sun Life Gold ETF</t>
        </is>
      </c>
      <c r="D3" s="1" t="inlineStr">
        <is>
          <t>Notes</t>
        </is>
      </c>
      <c r="E3" s="28" t="inlineStr">
        <is>
          <t>Daily NAV from official AMFI NAV history. TER 0.37% as of 2026-07-31. Public sources exposed tracking error, not retrievable TD values. Yahoo history: https://finance.yahoo.com/quote/BSLGOLDETF.NS/history/</t>
        </is>
      </c>
    </row>
    <row r="4">
      <c r="A4" s="1" t="inlineStr">
        <is>
          <t>Yahoo symbol</t>
        </is>
      </c>
      <c r="B4" s="3" t="inlineStr">
        <is>
          <t>BSLGOLDETF.NS</t>
        </is>
      </c>
    </row>
    <row r="5">
      <c r="A5" s="1" t="inlineStr">
        <is>
          <t>TER (periodic)</t>
        </is>
      </c>
      <c r="B5" s="4" t="n">
        <v>0.0037</v>
      </c>
    </row>
    <row r="6">
      <c r="A6" s="1" t="inlineStr">
        <is>
          <t>TER as of</t>
        </is>
      </c>
      <c r="B6" s="3" t="inlineStr">
        <is>
          <t>2026-07-31</t>
        </is>
      </c>
    </row>
    <row r="7">
      <c r="A7" s="1" t="inlineStr">
        <is>
          <t>TD 1Y (periodic)</t>
        </is>
      </c>
      <c r="B7" s="4" t="n"/>
    </row>
    <row r="8">
      <c r="A8" s="1" t="inlineStr">
        <is>
          <t>TD 3Y (periodic)</t>
        </is>
      </c>
      <c r="B8" s="4" t="n"/>
      <c r="E8" s="29" t="n"/>
      <c r="F8" s="29" t="n"/>
      <c r="G8" s="29" t="n"/>
      <c r="H8" s="29" t="n"/>
      <c r="I8" s="29" t="n"/>
      <c r="J8" s="29" t="n"/>
      <c r="K8" s="29" t="n"/>
      <c r="L8" s="29" t="n"/>
    </row>
    <row r="9">
      <c r="A9" s="1" t="inlineStr">
        <is>
          <t>TD as of</t>
        </is>
      </c>
      <c r="B9" s="3" t="inlineStr">
        <is>
          <t>Not publicly reported</t>
        </is>
      </c>
    </row>
    <row r="10" ht="42" customHeight="1" s="33">
      <c r="A10" s="5" t="inlineStr">
        <is>
          <t>Date</t>
        </is>
      </c>
      <c r="B10" s="5" t="inlineStr">
        <is>
          <t>Day</t>
        </is>
      </c>
      <c r="C10" s="5" t="inlineStr">
        <is>
          <t>Market Close (₹)</t>
        </is>
      </c>
      <c r="D10" s="5" t="inlineStr">
        <is>
          <t>NAV (₹)</t>
        </is>
      </c>
      <c r="E10" s="5" t="inlineStr">
        <is>
          <t>Premium/(Discount) to NAV %</t>
        </is>
      </c>
      <c r="F10" s="5" t="inlineStr">
        <is>
          <t>TER % (periodic)</t>
        </is>
      </c>
      <c r="G10" s="5" t="inlineStr">
        <is>
          <t>TER As Of</t>
        </is>
      </c>
      <c r="H10" s="5" t="inlineStr">
        <is>
          <t>TD 1Y % (periodic)</t>
        </is>
      </c>
      <c r="I10" s="5" t="inlineStr">
        <is>
          <t>TD 3Y % (periodic)</t>
        </is>
      </c>
      <c r="J10" s="5" t="inlineStr">
        <is>
          <t>TD As Of</t>
        </is>
      </c>
      <c r="K10" s="5" t="inlineStr">
        <is>
          <t>Market Data Status</t>
        </is>
      </c>
      <c r="L10" s="5" t="inlineStr">
        <is>
          <t>NAV Data Status</t>
        </is>
      </c>
    </row>
    <row r="11">
      <c r="A11" s="6" t="n">
        <v>46272</v>
      </c>
      <c r="B11" s="7" t="inlineStr">
        <is>
          <t>Mon</t>
        </is>
      </c>
      <c r="C11" s="8" t="n">
        <v>133.82</v>
      </c>
      <c r="D11" s="8" t="n">
        <v>133.0932</v>
      </c>
      <c r="E11" s="9">
        <f>IFERROR(C11/D11-1,"")</f>
        <v/>
      </c>
      <c r="F11" s="9" t="n">
        <v>0.0037</v>
      </c>
      <c r="G11" s="7" t="inlineStr">
        <is>
          <t>2026-07-31</t>
        </is>
      </c>
      <c r="H11" s="9" t="n"/>
      <c r="I11" s="9" t="n"/>
      <c r="J11" s="7" t="inlineStr">
        <is>
          <t>Not publicly reported</t>
        </is>
      </c>
      <c r="K11" s="2" t="inlineStr">
        <is>
          <t>Available</t>
        </is>
      </c>
      <c r="L11" s="2" t="inlineStr">
        <is>
          <t>Available</t>
        </is>
      </c>
    </row>
    <row r="12">
      <c r="A12" s="6" t="n">
        <v>46273</v>
      </c>
      <c r="B12" s="7" t="inlineStr">
        <is>
          <t>Tue</t>
        </is>
      </c>
      <c r="C12" s="8" t="n">
        <v>133.97</v>
      </c>
      <c r="D12" s="8" t="n">
        <v>133.4334</v>
      </c>
      <c r="E12" s="9">
        <f>IFERROR(C12/D12-1,"")</f>
        <v/>
      </c>
      <c r="F12" s="9" t="n">
        <v>0.0037</v>
      </c>
      <c r="G12" s="7" t="inlineStr">
        <is>
          <t>2026-07-31</t>
        </is>
      </c>
      <c r="H12" s="9" t="n"/>
      <c r="I12" s="9" t="n"/>
      <c r="J12" s="7" t="inlineStr">
        <is>
          <t>Not publicly reported</t>
        </is>
      </c>
      <c r="K12" s="2" t="inlineStr">
        <is>
          <t>Available</t>
        </is>
      </c>
      <c r="L12" s="2" t="inlineStr">
        <is>
          <t>Available</t>
        </is>
      </c>
    </row>
    <row r="13">
      <c r="A13" s="6" t="n">
        <v>46274</v>
      </c>
      <c r="B13" s="7" t="inlineStr">
        <is>
          <t>Wed</t>
        </is>
      </c>
      <c r="C13" s="8" t="n">
        <v>133.98</v>
      </c>
      <c r="D13" s="8" t="n">
        <v>133.6704</v>
      </c>
      <c r="E13" s="9">
        <f>IFERROR(C13/D13-1,"")</f>
        <v/>
      </c>
      <c r="F13" s="9" t="n">
        <v>0.0037</v>
      </c>
      <c r="G13" s="7" t="inlineStr">
        <is>
          <t>2026-07-31</t>
        </is>
      </c>
      <c r="H13" s="9" t="n"/>
      <c r="I13" s="9" t="n"/>
      <c r="J13" s="7" t="inlineStr">
        <is>
          <t>Not publicly reported</t>
        </is>
      </c>
      <c r="K13" s="2" t="inlineStr">
        <is>
          <t>Available</t>
        </is>
      </c>
      <c r="L13" s="2" t="inlineStr">
        <is>
          <t>Available</t>
        </is>
      </c>
    </row>
    <row r="14">
      <c r="A14" s="6" t="n">
        <v>46275</v>
      </c>
      <c r="B14" s="7" t="inlineStr">
        <is>
          <t>Thu</t>
        </is>
      </c>
      <c r="C14" s="8" t="n">
        <v>134.33</v>
      </c>
      <c r="D14" s="8" t="n">
        <v>133.6662</v>
      </c>
      <c r="E14" s="9">
        <f>IFERROR(C14/D14-1,"")</f>
        <v/>
      </c>
      <c r="F14" s="9" t="n">
        <v>0.0037</v>
      </c>
      <c r="G14" s="7" t="inlineStr">
        <is>
          <t>2026-07-31</t>
        </is>
      </c>
      <c r="H14" s="9" t="n"/>
      <c r="I14" s="9" t="n"/>
      <c r="J14" s="7" t="inlineStr">
        <is>
          <t>Not publicly reported</t>
        </is>
      </c>
      <c r="K14" s="2" t="inlineStr">
        <is>
          <t>Available</t>
        </is>
      </c>
      <c r="L14" s="2" t="inlineStr">
        <is>
          <t>Available</t>
        </is>
      </c>
    </row>
    <row r="15">
      <c r="A15" s="6" t="n">
        <v>46276</v>
      </c>
      <c r="B15" s="7" t="inlineStr">
        <is>
          <t>Fri</t>
        </is>
      </c>
      <c r="C15" s="8" t="n">
        <v>133.25</v>
      </c>
      <c r="D15" s="8" t="n">
        <v>132.6211</v>
      </c>
      <c r="E15" s="9">
        <f>IFERROR(C15/D15-1,"")</f>
        <v/>
      </c>
      <c r="F15" s="9" t="n">
        <v>0.0037</v>
      </c>
      <c r="G15" s="7" t="inlineStr">
        <is>
          <t>2026-07-31</t>
        </is>
      </c>
      <c r="H15" s="9" t="n"/>
      <c r="I15" s="9" t="n"/>
      <c r="J15" s="7" t="inlineStr">
        <is>
          <t>Not publicly reported</t>
        </is>
      </c>
      <c r="K15" s="2" t="inlineStr">
        <is>
          <t>Available</t>
        </is>
      </c>
      <c r="L15" s="2" t="inlineStr">
        <is>
          <t>Available</t>
        </is>
      </c>
    </row>
    <row r="16">
      <c r="A16" s="6" t="n">
        <v>46277</v>
      </c>
      <c r="B16" s="7" t="inlineStr">
        <is>
          <t>Sat</t>
        </is>
      </c>
      <c r="C16" s="8" t="n"/>
      <c r="D16" s="8" t="n"/>
      <c r="E16" s="9">
        <f>IFERROR(C16/D16-1,"")</f>
        <v/>
      </c>
      <c r="F16" s="9" t="n">
        <v>0.0037</v>
      </c>
      <c r="G16" s="7" t="inlineStr">
        <is>
          <t>2026-07-31</t>
        </is>
      </c>
      <c r="H16" s="9" t="n"/>
      <c r="I16" s="9" t="n"/>
      <c r="J16" s="7" t="inlineStr">
        <is>
          <t>Not publicly reported</t>
        </is>
      </c>
      <c r="K16" s="2" t="inlineStr">
        <is>
          <t>No price observation retrieved</t>
        </is>
      </c>
      <c r="L16" s="2" t="inlineStr">
        <is>
          <t>Not available for this date</t>
        </is>
      </c>
    </row>
    <row r="17">
      <c r="A17" s="6" t="n">
        <v>46278</v>
      </c>
      <c r="B17" s="7" t="inlineStr">
        <is>
          <t>Sun</t>
        </is>
      </c>
      <c r="C17" s="8" t="n"/>
      <c r="D17" s="8" t="n"/>
      <c r="E17" s="9">
        <f>IFERROR(C17/D17-1,"")</f>
        <v/>
      </c>
      <c r="F17" s="9" t="n">
        <v>0.0037</v>
      </c>
      <c r="G17" s="7" t="inlineStr">
        <is>
          <t>2026-07-31</t>
        </is>
      </c>
      <c r="H17" s="9" t="n"/>
      <c r="I17" s="9" t="n"/>
      <c r="J17" s="7" t="inlineStr">
        <is>
          <t>Not publicly reported</t>
        </is>
      </c>
      <c r="K17" s="2" t="inlineStr">
        <is>
          <t>No price observation retrieved</t>
        </is>
      </c>
      <c r="L17" s="2" t="inlineStr">
        <is>
          <t>Not available for this date</t>
        </is>
      </c>
    </row>
    <row r="18">
      <c r="A18" s="6" t="n">
        <v>46279</v>
      </c>
      <c r="B18" s="7" t="inlineStr">
        <is>
          <t>Mon</t>
        </is>
      </c>
      <c r="C18" s="8" t="n">
        <v>133.25</v>
      </c>
      <c r="D18" s="8" t="n"/>
      <c r="E18" s="9">
        <f>IFERROR(C18/D18-1,"")</f>
        <v/>
      </c>
      <c r="F18" s="9" t="n">
        <v>0.0037</v>
      </c>
      <c r="G18" s="7" t="inlineStr">
        <is>
          <t>2026-07-31</t>
        </is>
      </c>
      <c r="H18" s="9" t="n"/>
      <c r="I18" s="9" t="n"/>
      <c r="J18" s="7" t="inlineStr">
        <is>
          <t>Not publicly reported</t>
        </is>
      </c>
      <c r="K18" s="2" t="inlineStr">
        <is>
          <t>Available</t>
        </is>
      </c>
      <c r="L18" s="2" t="inlineStr">
        <is>
          <t>Not available for this date</t>
        </is>
      </c>
    </row>
    <row r="19">
      <c r="A19" s="6" t="n">
        <v>46280</v>
      </c>
      <c r="B19" s="7" t="inlineStr">
        <is>
          <t>Tue</t>
        </is>
      </c>
      <c r="C19" s="8" t="n">
        <v>131.88</v>
      </c>
      <c r="D19" s="8" t="n">
        <v>131.4046</v>
      </c>
      <c r="E19" s="9">
        <f>IFERROR(C19/D19-1,"")</f>
        <v/>
      </c>
      <c r="F19" s="9" t="n">
        <v>0.0037</v>
      </c>
      <c r="G19" s="7" t="inlineStr">
        <is>
          <t>2026-07-31</t>
        </is>
      </c>
      <c r="H19" s="9" t="n"/>
      <c r="I19" s="9" t="n"/>
      <c r="J19" s="7" t="inlineStr">
        <is>
          <t>Not publicly reported</t>
        </is>
      </c>
      <c r="K19" s="2" t="inlineStr">
        <is>
          <t>Available</t>
        </is>
      </c>
      <c r="L19" s="2" t="inlineStr">
        <is>
          <t>Available</t>
        </is>
      </c>
    </row>
    <row r="20">
      <c r="A20" s="6" t="n">
        <v>46281</v>
      </c>
      <c r="B20" s="7" t="inlineStr">
        <is>
          <t>Wed</t>
        </is>
      </c>
      <c r="C20" s="8" t="n">
        <v>132.9</v>
      </c>
      <c r="D20" s="8" t="n">
        <v>132.9498</v>
      </c>
      <c r="E20" s="9">
        <f>IFERROR(C20/D20-1,"")</f>
        <v/>
      </c>
      <c r="F20" s="9" t="n">
        <v>0.0037</v>
      </c>
      <c r="G20" s="7" t="inlineStr">
        <is>
          <t>2026-07-31</t>
        </is>
      </c>
      <c r="H20" s="9" t="n"/>
      <c r="I20" s="9" t="n"/>
      <c r="J20" s="7" t="inlineStr">
        <is>
          <t>Not publicly reported</t>
        </is>
      </c>
      <c r="K20" s="2" t="inlineStr">
        <is>
          <t>Available</t>
        </is>
      </c>
      <c r="L20" s="2" t="inlineStr">
        <is>
          <t>Available</t>
        </is>
      </c>
    </row>
    <row r="21">
      <c r="A21" s="6" t="n">
        <v>46282</v>
      </c>
      <c r="B21" s="7" t="inlineStr">
        <is>
          <t>Thu</t>
        </is>
      </c>
      <c r="C21" s="8" t="n">
        <v>132.57</v>
      </c>
      <c r="D21" s="8" t="n">
        <v>132.2812</v>
      </c>
      <c r="E21" s="9">
        <f>IFERROR(C21/D21-1,"")</f>
        <v/>
      </c>
      <c r="F21" s="9" t="n">
        <v>0.0037</v>
      </c>
      <c r="G21" s="7" t="inlineStr">
        <is>
          <t>2026-07-31</t>
        </is>
      </c>
      <c r="H21" s="9" t="n"/>
      <c r="I21" s="9" t="n"/>
      <c r="J21" s="7" t="inlineStr">
        <is>
          <t>Not publicly reported</t>
        </is>
      </c>
      <c r="K21" s="2" t="inlineStr">
        <is>
          <t>Available</t>
        </is>
      </c>
      <c r="L21" s="2" t="inlineStr">
        <is>
          <t>Available</t>
        </is>
      </c>
    </row>
    <row r="22">
      <c r="A22" s="6" t="n">
        <v>46283</v>
      </c>
      <c r="B22" s="7" t="inlineStr">
        <is>
          <t>Fri</t>
        </is>
      </c>
      <c r="C22" s="8" t="n">
        <v>134.53</v>
      </c>
      <c r="D22" s="8" t="n">
        <v>134.0105</v>
      </c>
      <c r="E22" s="9">
        <f>IFERROR(C22/D22-1,"")</f>
        <v/>
      </c>
      <c r="F22" s="9" t="n">
        <v>0.0037</v>
      </c>
      <c r="G22" s="7" t="inlineStr">
        <is>
          <t>2026-07-31</t>
        </is>
      </c>
      <c r="H22" s="9" t="n"/>
      <c r="I22" s="9" t="n"/>
      <c r="J22" s="7" t="inlineStr">
        <is>
          <t>Not publicly reported</t>
        </is>
      </c>
      <c r="K22" s="2" t="inlineStr">
        <is>
          <t>Available</t>
        </is>
      </c>
      <c r="L22" s="2" t="inlineStr">
        <is>
          <t>Available</t>
        </is>
      </c>
    </row>
    <row r="23">
      <c r="A23" s="40" t="n">
        <v>46286</v>
      </c>
      <c r="B23" s="7" t="inlineStr">
        <is>
          <t>Mon</t>
        </is>
      </c>
      <c r="C23" s="8" t="n">
        <v>133.72</v>
      </c>
      <c r="D23" s="43" t="n">
        <v>133.5272</v>
      </c>
      <c r="E23" s="9">
        <f>IFERROR(C23/D23-1,"")</f>
        <v/>
      </c>
      <c r="F23" s="9" t="n">
        <v>0.0037</v>
      </c>
      <c r="G23" s="7" t="inlineStr">
        <is>
          <t>2026-07-31</t>
        </is>
      </c>
      <c r="H23" s="9" t="n"/>
      <c r="I23" s="9" t="n"/>
      <c r="J23" s="7" t="inlineStr">
        <is>
          <t>Available</t>
        </is>
      </c>
      <c r="K23" s="2" t="inlineStr">
        <is>
          <t>No price observation retrieved</t>
        </is>
      </c>
      <c r="L23" s="2" t="inlineStr">
        <is>
          <t>Not available for this date</t>
        </is>
      </c>
    </row>
    <row r="24">
      <c r="A24" s="42" t="n">
        <v>46287</v>
      </c>
      <c r="B24" t="inlineStr">
        <is>
          <t>Tue</t>
        </is>
      </c>
      <c r="C24" t="n">
        <v>133.06</v>
      </c>
      <c r="D24" s="39" t="n">
        <v>132.8879</v>
      </c>
      <c r="J24" t="inlineStr">
        <is>
          <t>Available</t>
        </is>
      </c>
    </row>
    <row r="25">
      <c r="A25" s="42" t="n">
        <v>46288</v>
      </c>
      <c r="B25" t="inlineStr">
        <is>
          <t>Wed</t>
        </is>
      </c>
      <c r="C25" t="n">
        <v>132.9</v>
      </c>
      <c r="D25" s="39" t="n">
        <v>132.487</v>
      </c>
      <c r="J25" t="inlineStr">
        <is>
          <t>Available</t>
        </is>
      </c>
    </row>
    <row r="26">
      <c r="A26" s="44" t="n">
        <v>46289</v>
      </c>
      <c r="B26" t="inlineStr">
        <is>
          <t>Thu</t>
        </is>
      </c>
      <c r="C26" t="n">
        <v>131.48</v>
      </c>
      <c r="D26" s="39" t="n">
        <v>131.3591</v>
      </c>
      <c r="J26" t="inlineStr">
        <is>
          <t>Available</t>
        </is>
      </c>
    </row>
    <row r="27">
      <c r="A27" s="45" t="n">
        <v>46290</v>
      </c>
      <c r="B27" s="10" t="inlineStr">
        <is>
          <t>Fri</t>
        </is>
      </c>
      <c r="C27" t="n">
        <v>132.4</v>
      </c>
      <c r="D27" s="39" t="n">
        <v>132.4512</v>
      </c>
      <c r="J27" t="inlineStr">
        <is>
          <t>Available</t>
        </is>
      </c>
    </row>
    <row r="28">
      <c r="A28" s="41" t="inlineStr">
        <is>
          <t>TER source</t>
        </is>
      </c>
      <c r="B28" s="29" t="n"/>
    </row>
    <row r="29" ht="86.40000000000001" customHeight="1" s="33">
      <c r="A29" s="1" t="inlineStr">
        <is>
          <t>TD source</t>
        </is>
      </c>
      <c r="B29" s="10" t="inlineStr">
        <is>
          <t>https://www.amfiindia.com/otherdata/tracking-error</t>
        </is>
      </c>
    </row>
    <row r="30" ht="57.6" customHeight="1" s="33">
      <c r="A30" s="1" t="inlineStr">
        <is>
          <t>Market-price source</t>
        </is>
      </c>
      <c r="B30" s="10" t="inlineStr">
        <is>
          <t>https://finance.yahoo.com/quote/BSLGOLDETF.NS/history/</t>
        </is>
      </c>
    </row>
    <row r="31" ht="43.2" customHeight="1" s="33"/>
    <row r="32" ht="43.2" customHeight="1" s="33"/>
  </sheetData>
  <mergeCells count="3">
    <mergeCell ref="E3:L8"/>
    <mergeCell ref="A1:L1"/>
    <mergeCell ref="A28:B28"/>
  </mergeCells>
  <conditionalFormatting sqref="E11:E25">
    <cfRule type="colorScale" priority="1">
      <colorScale>
        <cfvo type="min"/>
        <cfvo type="num" val="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0" topLeftCell="A11" activePane="bottomLeft" state="frozen"/>
      <selection activeCell="A1" sqref="A1:L1"/>
      <selection pane="bottomLeft" activeCell="A1" sqref="A1:L1"/>
    </sheetView>
  </sheetViews>
  <sheetFormatPr baseColWidth="8" defaultRowHeight="14.4"/>
  <cols>
    <col width="15" customWidth="1" style="33" min="1" max="1"/>
    <col width="18" customWidth="1" style="33" min="2" max="3"/>
    <col width="14" customWidth="1" style="33" min="4" max="4"/>
    <col width="28" customWidth="1" style="33" min="5" max="5"/>
    <col width="17" customWidth="1" style="33" min="6" max="6"/>
    <col width="15" customWidth="1" style="33" min="7" max="7"/>
    <col width="20" customWidth="1" style="33" min="8" max="9"/>
    <col width="18" customWidth="1" style="33" min="10" max="10"/>
    <col width="30" customWidth="1" style="33" min="11" max="12"/>
  </cols>
  <sheetData>
    <row r="1" ht="24" customHeight="1" s="33">
      <c r="A1" s="30" t="inlineStr">
        <is>
          <t>LIC MF Gold Exchange Traded Fund (LICMFGOLD.NS) — Daily Tracker</t>
        </is>
      </c>
    </row>
    <row r="3">
      <c r="A3" s="1" t="inlineStr">
        <is>
          <t>Fund</t>
        </is>
      </c>
      <c r="B3" s="3" t="inlineStr">
        <is>
          <t>LIC MF Gold Exchange Traded Fund</t>
        </is>
      </c>
      <c r="D3" s="1" t="inlineStr">
        <is>
          <t>Notes</t>
        </is>
      </c>
      <c r="E3" s="28" t="inlineStr">
        <is>
          <t>Daily NAV values updated from the user-supplied LIC Mutual Fund / AMFI extract: ₹136.3462 on 07-Sep-2026 through ₹137.2833 on 18-Sep-2026. Market close source: Yahoo Finance. LIC snapshot reports TER as NA; TD values were not reliably reported.</t>
        </is>
      </c>
    </row>
    <row r="4">
      <c r="A4" s="1" t="inlineStr">
        <is>
          <t>Yahoo symbol</t>
        </is>
      </c>
      <c r="B4" s="3" t="inlineStr">
        <is>
          <t>LICMFGOLD.NS</t>
        </is>
      </c>
    </row>
    <row r="5">
      <c r="A5" s="1" t="inlineStr">
        <is>
          <t>TER (periodic)</t>
        </is>
      </c>
      <c r="B5" s="4" t="n"/>
    </row>
    <row r="6">
      <c r="A6" s="1" t="inlineStr">
        <is>
          <t>TER as of</t>
        </is>
      </c>
      <c r="B6" s="3" t="inlineStr">
        <is>
          <t>Not reliably reported</t>
        </is>
      </c>
    </row>
    <row r="7">
      <c r="A7" s="1" t="inlineStr">
        <is>
          <t>TD 1Y (periodic)</t>
        </is>
      </c>
      <c r="B7" s="4" t="n"/>
    </row>
    <row r="8">
      <c r="A8" s="1" t="inlineStr">
        <is>
          <t>TD 3Y (periodic)</t>
        </is>
      </c>
      <c r="B8" s="4" t="inlineStr">
        <is>
          <t>Daily public series available (LIC Mutual Fund / AMFI extract supplied by user)</t>
        </is>
      </c>
      <c r="E8" s="29" t="n"/>
      <c r="F8" s="29" t="n"/>
      <c r="G8" s="29" t="n"/>
      <c r="H8" s="29" t="n"/>
      <c r="I8" s="29" t="n"/>
      <c r="J8" s="29" t="n"/>
      <c r="K8" s="29" t="n"/>
      <c r="L8" s="29" t="n"/>
    </row>
    <row r="9">
      <c r="A9" s="1" t="inlineStr">
        <is>
          <t>TD as of</t>
        </is>
      </c>
      <c r="B9" s="3" t="inlineStr">
        <is>
          <t>Not publicly reported</t>
        </is>
      </c>
    </row>
    <row r="10" ht="42" customHeight="1" s="33">
      <c r="A10" s="5" t="inlineStr">
        <is>
          <t>Date</t>
        </is>
      </c>
      <c r="B10" s="5" t="inlineStr">
        <is>
          <t>Day</t>
        </is>
      </c>
      <c r="C10" s="5" t="inlineStr">
        <is>
          <t>Market Close (₹)</t>
        </is>
      </c>
      <c r="D10" s="5" t="inlineStr">
        <is>
          <t>NAV (₹)</t>
        </is>
      </c>
      <c r="E10" s="5" t="inlineStr">
        <is>
          <t>Premium/(Discount) to NAV %</t>
        </is>
      </c>
      <c r="F10" s="5" t="inlineStr">
        <is>
          <t>TER % (periodic)</t>
        </is>
      </c>
      <c r="G10" s="5" t="inlineStr">
        <is>
          <t>TER As Of</t>
        </is>
      </c>
      <c r="H10" s="5" t="inlineStr">
        <is>
          <t>TD 1Y % (periodic)</t>
        </is>
      </c>
      <c r="I10" s="5" t="inlineStr">
        <is>
          <t>TD 3Y % (periodic)</t>
        </is>
      </c>
      <c r="J10" s="5" t="inlineStr">
        <is>
          <t>TD As Of</t>
        </is>
      </c>
      <c r="K10" s="5" t="inlineStr">
        <is>
          <t>Market Data Status</t>
        </is>
      </c>
      <c r="L10" s="5" t="inlineStr">
        <is>
          <t>NAV Data Status</t>
        </is>
      </c>
    </row>
    <row r="11">
      <c r="A11" s="6" t="n">
        <v>46286</v>
      </c>
      <c r="B11" s="7" t="inlineStr">
        <is>
          <t>Mon</t>
        </is>
      </c>
      <c r="C11" s="8" t="n">
        <v>137.1</v>
      </c>
      <c r="D11" s="8" t="n">
        <v>136.3462</v>
      </c>
      <c r="E11" s="9">
        <f>IFERROR(C11/D11-1,"")</f>
        <v/>
      </c>
      <c r="F11" s="9" t="n"/>
      <c r="G11" s="7" t="inlineStr">
        <is>
          <t>Not reliably reported</t>
        </is>
      </c>
      <c r="H11" s="9" t="n"/>
      <c r="I11" s="9" t="n"/>
      <c r="J11" s="7" t="inlineStr">
        <is>
          <t>Not publicly reported</t>
        </is>
      </c>
      <c r="K11" s="2" t="inlineStr">
        <is>
          <t>Available</t>
        </is>
      </c>
      <c r="L11" s="2" t="inlineStr">
        <is>
          <t>Available</t>
        </is>
      </c>
    </row>
    <row r="12">
      <c r="A12" s="6" t="n">
        <v>46273</v>
      </c>
      <c r="B12" s="7" t="inlineStr">
        <is>
          <t>Tue</t>
        </is>
      </c>
      <c r="C12" s="8" t="n">
        <v>137.2</v>
      </c>
      <c r="D12" s="8" t="n">
        <v>136.6939</v>
      </c>
      <c r="E12" s="9">
        <f>IFERROR(C12/D12-1,"")</f>
        <v/>
      </c>
      <c r="F12" s="9" t="n"/>
      <c r="G12" s="7" t="inlineStr">
        <is>
          <t>Not reliably reported</t>
        </is>
      </c>
      <c r="H12" s="9" t="n"/>
      <c r="I12" s="9" t="n"/>
      <c r="J12" s="7" t="inlineStr">
        <is>
          <t>Not publicly reported</t>
        </is>
      </c>
      <c r="K12" s="2" t="inlineStr">
        <is>
          <t>Available</t>
        </is>
      </c>
      <c r="L12" s="2" t="inlineStr">
        <is>
          <t>Available</t>
        </is>
      </c>
    </row>
    <row r="13">
      <c r="A13" s="6" t="n">
        <v>46274</v>
      </c>
      <c r="B13" s="7" t="inlineStr">
        <is>
          <t>Wed</t>
        </is>
      </c>
      <c r="C13" s="8" t="n">
        <v>136.9</v>
      </c>
      <c r="D13" s="8" t="n">
        <v>136.936</v>
      </c>
      <c r="E13" s="9">
        <f>IFERROR(C13/D13-1,"")</f>
        <v/>
      </c>
      <c r="F13" s="9" t="n"/>
      <c r="G13" s="7" t="inlineStr">
        <is>
          <t>Not reliably reported</t>
        </is>
      </c>
      <c r="H13" s="9" t="n"/>
      <c r="I13" s="9" t="n"/>
      <c r="J13" s="7" t="inlineStr">
        <is>
          <t>Not publicly reported</t>
        </is>
      </c>
      <c r="K13" s="2" t="inlineStr">
        <is>
          <t>Available</t>
        </is>
      </c>
      <c r="L13" s="2" t="inlineStr">
        <is>
          <t>Available</t>
        </is>
      </c>
    </row>
    <row r="14">
      <c r="A14" s="6" t="n">
        <v>46275</v>
      </c>
      <c r="B14" s="7" t="inlineStr">
        <is>
          <t>Thu</t>
        </is>
      </c>
      <c r="C14" s="8" t="n">
        <v>137.2</v>
      </c>
      <c r="D14" s="8" t="n">
        <v>136.9317</v>
      </c>
      <c r="E14" s="9">
        <f>IFERROR(C14/D14-1,"")</f>
        <v/>
      </c>
      <c r="F14" s="9" t="n"/>
      <c r="G14" s="7" t="inlineStr">
        <is>
          <t>Not reliably reported</t>
        </is>
      </c>
      <c r="H14" s="9" t="n"/>
      <c r="I14" s="9" t="n"/>
      <c r="J14" s="7" t="inlineStr">
        <is>
          <t>Not publicly reported</t>
        </is>
      </c>
      <c r="K14" s="2" t="inlineStr">
        <is>
          <t>Available</t>
        </is>
      </c>
      <c r="L14" s="2" t="inlineStr">
        <is>
          <t>Available</t>
        </is>
      </c>
    </row>
    <row r="15">
      <c r="A15" s="6" t="n">
        <v>46276</v>
      </c>
      <c r="B15" s="7" t="inlineStr">
        <is>
          <t>Fri</t>
        </is>
      </c>
      <c r="C15" s="8" t="n">
        <v>136.3</v>
      </c>
      <c r="D15" s="8" t="n">
        <v>135.8635</v>
      </c>
      <c r="E15" s="9">
        <f>IFERROR(C15/D15-1,"")</f>
        <v/>
      </c>
      <c r="F15" s="9" t="n"/>
      <c r="G15" s="7" t="inlineStr">
        <is>
          <t>Not reliably reported</t>
        </is>
      </c>
      <c r="H15" s="9" t="n"/>
      <c r="I15" s="9" t="n"/>
      <c r="J15" s="7" t="inlineStr">
        <is>
          <t>Not publicly reported</t>
        </is>
      </c>
      <c r="K15" s="2" t="inlineStr">
        <is>
          <t>Available</t>
        </is>
      </c>
      <c r="L15" s="2" t="inlineStr">
        <is>
          <t>Available</t>
        </is>
      </c>
    </row>
    <row r="16" ht="28.8" customHeight="1" s="33">
      <c r="A16" s="6" t="n">
        <v>46277</v>
      </c>
      <c r="B16" s="7" t="inlineStr">
        <is>
          <t>Sat</t>
        </is>
      </c>
      <c r="C16" s="8" t="n"/>
      <c r="D16" s="8" t="n"/>
      <c r="E16" s="9">
        <f>IFERROR(C16/D16-1,"")</f>
        <v/>
      </c>
      <c r="F16" s="9" t="n"/>
      <c r="G16" s="7" t="inlineStr">
        <is>
          <t>Not reliably reported</t>
        </is>
      </c>
      <c r="H16" s="9" t="n"/>
      <c r="I16" s="9" t="n"/>
      <c r="J16" s="7" t="inlineStr">
        <is>
          <t>Not publicly reported</t>
        </is>
      </c>
      <c r="K16" s="2" t="inlineStr">
        <is>
          <t>No price observation retrieved</t>
        </is>
      </c>
      <c r="L16" s="2" t="inlineStr">
        <is>
          <t>No NAV observation in supplied extract</t>
        </is>
      </c>
    </row>
    <row r="17" ht="28.8" customHeight="1" s="33">
      <c r="A17" s="6" t="n">
        <v>46278</v>
      </c>
      <c r="B17" s="7" t="inlineStr">
        <is>
          <t>Sun</t>
        </is>
      </c>
      <c r="C17" s="8" t="n"/>
      <c r="D17" s="8" t="n"/>
      <c r="E17" s="9">
        <f>IFERROR(C17/D17-1,"")</f>
        <v/>
      </c>
      <c r="F17" s="9" t="n"/>
      <c r="G17" s="7" t="inlineStr">
        <is>
          <t>Not reliably reported</t>
        </is>
      </c>
      <c r="H17" s="9" t="n"/>
      <c r="I17" s="9" t="n"/>
      <c r="J17" s="7" t="inlineStr">
        <is>
          <t>Not publicly reported</t>
        </is>
      </c>
      <c r="K17" s="2" t="inlineStr">
        <is>
          <t>No price observation retrieved</t>
        </is>
      </c>
      <c r="L17" s="2" t="inlineStr">
        <is>
          <t>No NAV observation in supplied extract</t>
        </is>
      </c>
    </row>
    <row r="18" ht="28.8" customHeight="1" s="33">
      <c r="A18" s="6" t="n">
        <v>46279</v>
      </c>
      <c r="B18" s="7" t="inlineStr">
        <is>
          <t>Mon</t>
        </is>
      </c>
      <c r="C18" s="8" t="n">
        <v>136.3</v>
      </c>
      <c r="D18" s="8" t="n"/>
      <c r="E18" s="9">
        <f>IFERROR(C18/D18-1,"")</f>
        <v/>
      </c>
      <c r="F18" s="9" t="n"/>
      <c r="G18" s="7" t="inlineStr">
        <is>
          <t>Not reliably reported</t>
        </is>
      </c>
      <c r="H18" s="9" t="n"/>
      <c r="I18" s="9" t="n"/>
      <c r="J18" s="7" t="inlineStr">
        <is>
          <t>Not publicly reported</t>
        </is>
      </c>
      <c r="K18" s="2" t="inlineStr">
        <is>
          <t>Available</t>
        </is>
      </c>
      <c r="L18" s="2" t="inlineStr">
        <is>
          <t>No NAV observation in supplied extract</t>
        </is>
      </c>
    </row>
    <row r="19">
      <c r="A19" s="6" t="n">
        <v>46280</v>
      </c>
      <c r="B19" s="7" t="inlineStr">
        <is>
          <t>Tue</t>
        </is>
      </c>
      <c r="C19" s="8" t="n">
        <v>133.95</v>
      </c>
      <c r="D19" s="8" t="n">
        <v>134.6196</v>
      </c>
      <c r="E19" s="9">
        <f>IFERROR(C19/D19-1,"")</f>
        <v/>
      </c>
      <c r="F19" s="9" t="n"/>
      <c r="G19" s="7" t="inlineStr">
        <is>
          <t>Not reliably reported</t>
        </is>
      </c>
      <c r="H19" s="9" t="n"/>
      <c r="I19" s="9" t="n"/>
      <c r="J19" s="7" t="inlineStr">
        <is>
          <t>Not publicly reported</t>
        </is>
      </c>
      <c r="K19" s="2" t="inlineStr">
        <is>
          <t>Available</t>
        </is>
      </c>
      <c r="L19" s="2" t="inlineStr">
        <is>
          <t>Available</t>
        </is>
      </c>
    </row>
    <row r="20">
      <c r="A20" s="6" t="n">
        <v>46281</v>
      </c>
      <c r="B20" s="7" t="inlineStr">
        <is>
          <t>Wed</t>
        </is>
      </c>
      <c r="C20" s="8" t="n">
        <v>135.6</v>
      </c>
      <c r="D20" s="8" t="n">
        <v>136.1991</v>
      </c>
      <c r="E20" s="9">
        <f>IFERROR(C20/D20-1,"")</f>
        <v/>
      </c>
      <c r="F20" s="9" t="n"/>
      <c r="G20" s="7" t="inlineStr">
        <is>
          <t>Not reliably reported</t>
        </is>
      </c>
      <c r="H20" s="9" t="n"/>
      <c r="I20" s="9" t="n"/>
      <c r="J20" s="7" t="inlineStr">
        <is>
          <t>Not publicly reported</t>
        </is>
      </c>
      <c r="K20" s="2" t="inlineStr">
        <is>
          <t>Available</t>
        </is>
      </c>
      <c r="L20" s="2" t="inlineStr">
        <is>
          <t>Available</t>
        </is>
      </c>
    </row>
    <row r="21">
      <c r="A21" s="6" t="n">
        <v>46282</v>
      </c>
      <c r="B21" s="7" t="inlineStr">
        <is>
          <t>Thu</t>
        </is>
      </c>
      <c r="C21" s="8" t="n">
        <v>135.3</v>
      </c>
      <c r="D21" s="8" t="n">
        <v>135.5155</v>
      </c>
      <c r="E21" s="9">
        <f>IFERROR(C21/D21-1,"")</f>
        <v/>
      </c>
      <c r="F21" s="9" t="n"/>
      <c r="G21" s="7" t="inlineStr">
        <is>
          <t>Not reliably reported</t>
        </is>
      </c>
      <c r="H21" s="9" t="n"/>
      <c r="I21" s="9" t="n"/>
      <c r="J21" s="7" t="inlineStr">
        <is>
          <t>Not publicly reported</t>
        </is>
      </c>
      <c r="K21" s="2" t="inlineStr">
        <is>
          <t>Available</t>
        </is>
      </c>
      <c r="L21" s="2" t="inlineStr">
        <is>
          <t>Available</t>
        </is>
      </c>
    </row>
    <row r="22">
      <c r="A22" s="6" t="n">
        <v>46283</v>
      </c>
      <c r="B22" s="7" t="inlineStr">
        <is>
          <t>Fri</t>
        </is>
      </c>
      <c r="C22" s="8" t="n">
        <v>137.65</v>
      </c>
      <c r="D22" s="8" t="n">
        <v>137.2833</v>
      </c>
      <c r="E22" s="9">
        <f>IFERROR(C22/D22-1,"")</f>
        <v/>
      </c>
      <c r="F22" s="9" t="n"/>
      <c r="G22" s="7" t="inlineStr">
        <is>
          <t>Not reliably reported</t>
        </is>
      </c>
      <c r="H22" s="9" t="n"/>
      <c r="I22" s="9" t="n"/>
      <c r="J22" s="7" t="inlineStr">
        <is>
          <t>Not publicly reported</t>
        </is>
      </c>
      <c r="K22" s="2" t="inlineStr">
        <is>
          <t>Available</t>
        </is>
      </c>
      <c r="L22" s="2" t="inlineStr">
        <is>
          <t>Available</t>
        </is>
      </c>
    </row>
    <row r="23" ht="28.8" customHeight="1" s="33">
      <c r="A23" s="42" t="n">
        <v>46286</v>
      </c>
      <c r="B23" t="inlineStr">
        <is>
          <t>Mon</t>
        </is>
      </c>
      <c r="C23" t="n">
        <v>136.45</v>
      </c>
      <c r="D23" s="39" t="n">
        <v>136.7891</v>
      </c>
      <c r="J23" t="inlineStr">
        <is>
          <t>Available</t>
        </is>
      </c>
    </row>
    <row r="24" ht="28.8" customHeight="1" s="33">
      <c r="A24" s="42" t="n">
        <v>46287</v>
      </c>
      <c r="B24" t="inlineStr">
        <is>
          <t>Tue</t>
        </is>
      </c>
      <c r="C24" t="n">
        <v>135.8</v>
      </c>
      <c r="D24" s="39" t="n">
        <v>136.1354</v>
      </c>
      <c r="J24" t="inlineStr">
        <is>
          <t>Available</t>
        </is>
      </c>
    </row>
    <row r="25" ht="28.8" customHeight="1" s="33">
      <c r="A25" s="44" t="n">
        <v>46288</v>
      </c>
      <c r="B25" t="inlineStr">
        <is>
          <t>Wed</t>
        </is>
      </c>
      <c r="C25" t="n">
        <v>135.9</v>
      </c>
      <c r="D25" s="39" t="n">
        <v>135.7255</v>
      </c>
      <c r="J25" t="inlineStr">
        <is>
          <t>Available</t>
        </is>
      </c>
    </row>
    <row r="26">
      <c r="A26" s="45" t="n">
        <v>46289</v>
      </c>
      <c r="B26" s="10" t="inlineStr">
        <is>
          <t>Thu</t>
        </is>
      </c>
      <c r="C26" t="n">
        <v>134.5</v>
      </c>
      <c r="D26" s="39" t="n">
        <v>134.5721</v>
      </c>
      <c r="J26" t="inlineStr">
        <is>
          <t>Available</t>
        </is>
      </c>
    </row>
    <row r="27">
      <c r="A27" s="45" t="n">
        <v>46290</v>
      </c>
      <c r="B27" s="10" t="inlineStr">
        <is>
          <t>Fri</t>
        </is>
      </c>
      <c r="C27" t="n">
        <v>135.7</v>
      </c>
      <c r="D27" s="39" t="n">
        <v>135.6887</v>
      </c>
      <c r="J27" t="inlineStr">
        <is>
          <t>Available</t>
        </is>
      </c>
    </row>
    <row r="28">
      <c r="A28" s="41" t="inlineStr">
        <is>
          <t>TD source</t>
        </is>
      </c>
      <c r="B28" s="29" t="n"/>
    </row>
    <row r="29" ht="115.2" customHeight="1" s="33">
      <c r="A29" s="1" t="inlineStr">
        <is>
          <t>Market-price source</t>
        </is>
      </c>
      <c r="B29" s="10" t="inlineStr">
        <is>
          <t>https://finance.yahoo.com/quote/LICMFGOLD.NS/history/</t>
        </is>
      </c>
    </row>
    <row r="30" ht="57.6" customHeight="1" s="33"/>
    <row r="31" ht="72" customHeight="1" s="33"/>
    <row r="32" ht="43.2" customHeight="1" s="33"/>
  </sheetData>
  <mergeCells count="3">
    <mergeCell ref="E3:L8"/>
    <mergeCell ref="A1:L1"/>
    <mergeCell ref="A28:B28"/>
  </mergeCells>
  <conditionalFormatting sqref="E11:E25">
    <cfRule type="colorScale" priority="1">
      <colorScale>
        <cfvo type="min"/>
        <cfvo type="num" val="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:D1"/>
    </sheetView>
  </sheetViews>
  <sheetFormatPr baseColWidth="8" defaultRowHeight="14.4"/>
  <cols>
    <col width="25" customWidth="1" style="33" min="1" max="1"/>
    <col width="110" customWidth="1" style="33" min="2" max="2"/>
  </cols>
  <sheetData>
    <row r="1" ht="18" customHeight="1" s="33">
      <c r="A1" s="30" t="inlineStr">
        <is>
          <t>Daily Gold ETF Price, NAV, TER and Tracking Difference Tracker</t>
        </is>
      </c>
    </row>
    <row r="3">
      <c r="A3" s="1" t="inlineStr">
        <is>
          <t>Scope</t>
        </is>
      </c>
      <c r="B3" s="2" t="inlineStr">
        <is>
          <t>Date-wise tracker from 7-Sep-2026 through 21-Sep-2026 for the five allocated ETFs.</t>
        </is>
      </c>
    </row>
    <row r="4">
      <c r="A4" s="1" t="inlineStr">
        <is>
          <t>Daily price</t>
        </is>
      </c>
      <c r="B4" s="2" t="inlineStr">
        <is>
          <t>Yahoo Finance historical market closing price, INR per ETF unit.</t>
        </is>
      </c>
    </row>
    <row r="5" ht="28.8" customHeight="1" s="33">
      <c r="A5" s="1" t="inlineStr">
        <is>
          <t>Daily NAV</t>
        </is>
      </c>
      <c r="B5" s="2" t="inlineStr">
        <is>
          <t>Official/public historical NAV where available. For GOLDBETA and LICMFGOLD, only the latest publicly exposed NAV is entered; other dates are left blank.</t>
        </is>
      </c>
    </row>
    <row r="6">
      <c r="A6" s="1" t="inlineStr">
        <is>
          <t>TER</t>
        </is>
      </c>
      <c r="B6" s="2" t="inlineStr">
        <is>
          <t>Periodic expense-ratio disclosure, repeated for reference with its reporting date. TER is not a daily market observation.</t>
        </is>
      </c>
    </row>
    <row r="7" ht="28.8" customHeight="1" s="33">
      <c r="A7" s="1" t="inlineStr">
        <is>
          <t>Tracking difference</t>
        </is>
      </c>
      <c r="B7" s="2" t="inlineStr">
        <is>
          <t>Periodic disclosure, repeated for reference with its reporting date. Blank means no reliable public value was found; tracking error was not substituted.</t>
        </is>
      </c>
    </row>
    <row r="8">
      <c r="A8" s="1" t="inlineStr">
        <is>
          <t>Non-trading days</t>
        </is>
      </c>
      <c r="B8" s="2" t="inlineStr">
        <is>
          <t>Rows are retained for date continuity; no market close/NAV is shown where no observation was retrieved.</t>
        </is>
      </c>
    </row>
    <row r="9" ht="28.8" customHeight="1" s="33">
      <c r="A9" s="1" t="inlineStr">
        <is>
          <t>Data caveat</t>
        </is>
      </c>
      <c r="B9" s="2" t="inlineStr">
        <is>
          <t>This is a research tracker, not a broker ledger. Validate prices/NAV/TER/TD against official AMC/AMFI disclosures and contract notes before relying on it.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Gold ETF Daily Price NAV TER TD Tracker</dc:title>
  <dc:subject xmlns:dc="http://purl.org/dc/elements/1.1/">Date-wise research tracker for five Indian gold ETFs</dc:subject>
  <dcterms:created xmlns:dcterms="http://purl.org/dc/terms/" xmlns:xsi="http://www.w3.org/2001/XMLSchema-instance" xsi:type="dcterms:W3CDTF">2026-09-20T22:03:27Z</dcterms:created>
  <dcterms:modified xmlns:dcterms="http://purl.org/dc/terms/" xmlns:xsi="http://www.w3.org/2001/XMLSchema-instance" xsi:type="dcterms:W3CDTF">2026-09-27T13:10:21Z</dcterms:modified>
  <cp:lastModifiedBy>Preetam Bezbarua</cp:lastModifiedBy>
</cp:coreProperties>
</file>